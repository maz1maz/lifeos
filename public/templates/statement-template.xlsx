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صورت وضعیت پروژه" sheetId="1" state="visible" r:id="rId1"/>
    <sheet xmlns:r="http://schemas.openxmlformats.org/officeDocument/2006/relationships" name="ریزمتر" sheetId="2" state="visible" r:id="rId2"/>
    <sheet xmlns:r="http://schemas.openxmlformats.org/officeDocument/2006/relationships" name="راهنم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ahoma"/>
      <b val="1"/>
      <color rgb="000B1F3A"/>
      <sz val="15"/>
    </font>
    <font>
      <name val="Tahoma"/>
      <b val="1"/>
      <sz val="10"/>
    </font>
    <font>
      <name val="Tahoma"/>
      <sz val="10"/>
    </font>
    <font>
      <name val="Tahoma"/>
      <color rgb="0064748B"/>
      <sz val="8"/>
    </font>
    <font>
      <name val="Tahoma"/>
      <b val="1"/>
      <color rgb="0064748B"/>
      <sz val="9"/>
    </font>
    <font>
      <name val="Tahoma"/>
      <b val="1"/>
      <color rgb="00FFFFFF"/>
      <sz val="10"/>
    </font>
    <font>
      <name val="Tahoma"/>
      <b val="1"/>
      <color rgb="008A6414"/>
      <sz val="9"/>
    </font>
    <font>
      <name val="Tahoma"/>
      <b val="1"/>
      <color rgb="000B1F3A"/>
      <sz val="13"/>
    </font>
    <font>
      <name val="Tahoma"/>
      <b val="1"/>
    </font>
    <font>
      <name val="Tahoma"/>
      <b val="1"/>
      <color rgb="000B1F3A"/>
      <sz val="12"/>
    </font>
    <font>
      <name val="Tahoma"/>
      <color rgb="000F172A"/>
      <sz val="10.5"/>
    </font>
    <font>
      <name val="Tahoma"/>
      <b val="1"/>
      <color rgb="000B1F3A"/>
      <sz val="10.5"/>
    </font>
  </fonts>
  <fills count="4">
    <fill>
      <patternFill/>
    </fill>
    <fill>
      <patternFill patternType="gray125"/>
    </fill>
    <fill>
      <patternFill patternType="solid">
        <fgColor rgb="00FFF9E8"/>
      </patternFill>
    </fill>
    <fill>
      <patternFill patternType="solid">
        <fgColor rgb="000B1F3A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center" vertical="center" wrapText="1" readingOrder="2"/>
    </xf>
    <xf numFmtId="0" fontId="3" fillId="2" borderId="1" pivotButton="0" quotePrefix="0" xfId="0"/>
    <xf numFmtId="0" fontId="6" fillId="3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4" fontId="3" fillId="2" borderId="1" applyAlignment="1" pivotButton="0" quotePrefix="0" xfId="0">
      <alignment horizontal="center" vertical="center" wrapText="1" readingOrder="2"/>
    </xf>
    <xf numFmtId="3" fontId="3" fillId="2" borderId="1" applyAlignment="1" pivotButton="0" quotePrefix="0" xfId="0">
      <alignment horizontal="center" vertical="center" wrapText="1" readingOrder="2"/>
    </xf>
    <xf numFmtId="3" fontId="3" fillId="0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center" vertical="center" wrapText="1" readingOrder="2"/>
    </xf>
    <xf numFmtId="3" fontId="2" fillId="0" borderId="1" applyAlignment="1" pivotButton="0" quotePrefix="0" xfId="0">
      <alignment horizontal="center" vertical="center" wrapText="1" readingOrder="2"/>
    </xf>
    <xf numFmtId="3" fontId="2" fillId="2" borderId="1" applyAlignment="1" pivotButton="0" quotePrefix="0" xfId="0">
      <alignment horizontal="center" vertical="center" wrapText="1" readingOrder="2"/>
    </xf>
    <xf numFmtId="0" fontId="8" fillId="0" borderId="0" applyAlignment="1" pivotButton="0" quotePrefix="0" xfId="0">
      <alignment horizontal="center" vertical="center" wrapText="1" readingOrder="2"/>
    </xf>
    <xf numFmtId="0" fontId="9" fillId="0" borderId="0" applyAlignment="1" pivotButton="0" quotePrefix="0" xfId="0">
      <alignment horizontal="right" vertical="center" wrapText="1" readingOrder="2"/>
    </xf>
    <xf numFmtId="0" fontId="0" fillId="2" borderId="1" pivotButton="0" quotePrefix="0" xfId="0"/>
    <xf numFmtId="0" fontId="3" fillId="0" borderId="1" applyAlignment="1" pivotButton="0" quotePrefix="0" xfId="0">
      <alignment horizontal="right" vertical="center" wrapText="1" readingOrder="2"/>
    </xf>
    <xf numFmtId="0" fontId="10" fillId="0" borderId="0" applyAlignment="1" pivotButton="0" quotePrefix="0" xfId="0">
      <alignment horizontal="right" vertical="center" wrapText="1" readingOrder="2"/>
    </xf>
    <xf numFmtId="0" fontId="11" fillId="0" borderId="0" applyAlignment="1" pivotButton="0" quotePrefix="0" xfId="0">
      <alignment horizontal="right" vertical="center" wrapText="1" readingOrder="2"/>
    </xf>
    <xf numFmtId="0" fontId="12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0"/>
  <sheetViews>
    <sheetView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52" customWidth="1" min="3" max="3"/>
    <col width="20" customWidth="1" min="4" max="4"/>
    <col width="12" customWidth="1" min="5" max="5"/>
    <col width="13" customWidth="1" min="6" max="6"/>
    <col width="18" customWidth="1" min="7" max="7"/>
    <col width="26" customWidth="1" min="8" max="8"/>
  </cols>
  <sheetData>
    <row r="1" ht="34" customHeight="1">
      <c r="B1" s="1" t="inlineStr">
        <is>
          <t>فهرست آیتم‌های قرارداد</t>
        </is>
      </c>
    </row>
    <row r="3">
      <c r="B3" s="2" t="inlineStr">
        <is>
          <t>نام پروژه :</t>
        </is>
      </c>
      <c r="C3" s="3" t="n"/>
      <c r="D3" s="4" t="n"/>
      <c r="E3" s="5" t="n"/>
      <c r="F3" s="2" t="inlineStr">
        <is>
          <t>شماره قرارداد :</t>
        </is>
      </c>
      <c r="G3" s="3" t="n"/>
    </row>
    <row r="4">
      <c r="B4" s="2" t="inlineStr">
        <is>
          <t>موضوع قرارداد :</t>
        </is>
      </c>
      <c r="C4" s="3" t="n"/>
      <c r="D4" s="4" t="n"/>
      <c r="E4" s="5" t="n"/>
      <c r="F4" s="2" t="inlineStr">
        <is>
          <t>تاریخ قرارداد :</t>
        </is>
      </c>
      <c r="G4" s="3" t="n"/>
      <c r="H4" s="6" t="inlineStr">
        <is>
          <t>(مثلاً ۱۴۰۵/۰۲/۰۶)</t>
        </is>
      </c>
    </row>
    <row r="5">
      <c r="B5" s="2" t="inlineStr">
        <is>
          <t>کارفرما :</t>
        </is>
      </c>
      <c r="C5" s="3" t="n"/>
      <c r="D5" s="4" t="n"/>
      <c r="E5" s="5" t="n"/>
      <c r="F5" s="7" t="inlineStr">
        <is>
          <t>نام پیمانکار</t>
        </is>
      </c>
      <c r="G5" s="7" t="inlineStr">
        <is>
          <t>شرکت</t>
        </is>
      </c>
    </row>
    <row r="6">
      <c r="F6" s="6" t="inlineStr">
        <is>
          <t>(نام شرکت پیمانکار)</t>
        </is>
      </c>
      <c r="G6" s="8" t="n"/>
    </row>
    <row r="8" ht="30" customHeight="1">
      <c r="B8" s="9" t="inlineStr">
        <is>
          <t>شماره آیتم قرارداد</t>
        </is>
      </c>
      <c r="C8" s="9" t="inlineStr">
        <is>
          <t>شرح آیتم قرارداد</t>
        </is>
      </c>
      <c r="D8" s="9" t="inlineStr">
        <is>
          <t>نوع</t>
        </is>
      </c>
      <c r="E8" s="9" t="inlineStr">
        <is>
          <t>مقدار</t>
        </is>
      </c>
      <c r="F8" s="9" t="inlineStr">
        <is>
          <t>واحد</t>
        </is>
      </c>
      <c r="G8" s="9" t="inlineStr">
        <is>
          <t>فی</t>
        </is>
      </c>
      <c r="H8" s="9" t="inlineStr">
        <is>
          <t>مبلغ</t>
        </is>
      </c>
    </row>
    <row r="9">
      <c r="B9" s="10" t="n">
        <v>1</v>
      </c>
      <c r="C9" s="3" t="n"/>
      <c r="D9" s="11" t="n"/>
      <c r="E9" s="12" t="n"/>
      <c r="F9" s="11" t="n"/>
      <c r="G9" s="13" t="n"/>
      <c r="H9" s="14">
        <f>IF(OR(E9="",G9=""),"",E9*G9)</f>
        <v/>
      </c>
    </row>
    <row r="10">
      <c r="B10" s="10" t="n">
        <v>2</v>
      </c>
      <c r="C10" s="3" t="n"/>
      <c r="D10" s="11" t="n"/>
      <c r="E10" s="12" t="n"/>
      <c r="F10" s="11" t="n"/>
      <c r="G10" s="13" t="n"/>
      <c r="H10" s="14">
        <f>IF(OR(E10="",G10=""),"",E10*G10)</f>
        <v/>
      </c>
    </row>
    <row r="11">
      <c r="B11" s="10" t="n">
        <v>3</v>
      </c>
      <c r="C11" s="3" t="n"/>
      <c r="D11" s="11" t="n"/>
      <c r="E11" s="12" t="n"/>
      <c r="F11" s="11" t="n"/>
      <c r="G11" s="13" t="n"/>
      <c r="H11" s="14">
        <f>IF(OR(E11="",G11=""),"",E11*G11)</f>
        <v/>
      </c>
    </row>
    <row r="12">
      <c r="B12" s="10" t="n">
        <v>4</v>
      </c>
      <c r="C12" s="3" t="n"/>
      <c r="D12" s="11" t="n"/>
      <c r="E12" s="12" t="n"/>
      <c r="F12" s="11" t="n"/>
      <c r="G12" s="13" t="n"/>
      <c r="H12" s="14">
        <f>IF(OR(E12="",G12=""),"",E12*G12)</f>
        <v/>
      </c>
    </row>
    <row r="13">
      <c r="B13" s="10" t="n">
        <v>5</v>
      </c>
      <c r="C13" s="3" t="n"/>
      <c r="D13" s="11" t="n"/>
      <c r="E13" s="12" t="n"/>
      <c r="F13" s="11" t="n"/>
      <c r="G13" s="13" t="n"/>
      <c r="H13" s="14">
        <f>IF(OR(E13="",G13=""),"",E13*G13)</f>
        <v/>
      </c>
    </row>
    <row r="14">
      <c r="B14" s="10" t="n">
        <v>6</v>
      </c>
      <c r="C14" s="3" t="n"/>
      <c r="D14" s="11" t="n"/>
      <c r="E14" s="12" t="n"/>
      <c r="F14" s="11" t="n"/>
      <c r="G14" s="13" t="n"/>
      <c r="H14" s="14">
        <f>IF(OR(E14="",G14=""),"",E14*G14)</f>
        <v/>
      </c>
    </row>
    <row r="15">
      <c r="B15" s="10" t="n">
        <v>7</v>
      </c>
      <c r="C15" s="3" t="n"/>
      <c r="D15" s="11" t="n"/>
      <c r="E15" s="12" t="n"/>
      <c r="F15" s="11" t="n"/>
      <c r="G15" s="13" t="n"/>
      <c r="H15" s="14">
        <f>IF(OR(E15="",G15=""),"",E15*G15)</f>
        <v/>
      </c>
    </row>
    <row r="16">
      <c r="B16" s="10" t="n">
        <v>8</v>
      </c>
      <c r="C16" s="3" t="n"/>
      <c r="D16" s="11" t="n"/>
      <c r="E16" s="12" t="n"/>
      <c r="F16" s="11" t="n"/>
      <c r="G16" s="13" t="n"/>
      <c r="H16" s="14">
        <f>IF(OR(E16="",G16=""),"",E16*G16)</f>
        <v/>
      </c>
    </row>
    <row r="17">
      <c r="B17" s="10" t="n">
        <v>9</v>
      </c>
      <c r="C17" s="3" t="n"/>
      <c r="D17" s="11" t="n"/>
      <c r="E17" s="12" t="n"/>
      <c r="F17" s="11" t="n"/>
      <c r="G17" s="13" t="n"/>
      <c r="H17" s="14">
        <f>IF(OR(E17="",G17=""),"",E17*G17)</f>
        <v/>
      </c>
    </row>
    <row r="18">
      <c r="B18" s="10" t="n">
        <v>10</v>
      </c>
      <c r="C18" s="3" t="n"/>
      <c r="D18" s="11" t="n"/>
      <c r="E18" s="12" t="n"/>
      <c r="F18" s="11" t="n"/>
      <c r="G18" s="13" t="n"/>
      <c r="H18" s="14">
        <f>IF(OR(E18="",G18=""),"",E18*G18)</f>
        <v/>
      </c>
    </row>
    <row r="19">
      <c r="B19" s="10" t="n">
        <v>11</v>
      </c>
      <c r="C19" s="3" t="n"/>
      <c r="D19" s="11" t="n"/>
      <c r="E19" s="12" t="n"/>
      <c r="F19" s="11" t="n"/>
      <c r="G19" s="13" t="n"/>
      <c r="H19" s="14">
        <f>IF(OR(E19="",G19=""),"",E19*G19)</f>
        <v/>
      </c>
    </row>
    <row r="20">
      <c r="B20" s="10" t="n">
        <v>12</v>
      </c>
      <c r="C20" s="3" t="n"/>
      <c r="D20" s="11" t="n"/>
      <c r="E20" s="12" t="n"/>
      <c r="F20" s="11" t="n"/>
      <c r="G20" s="13" t="n"/>
      <c r="H20" s="14">
        <f>IF(OR(E20="",G20=""),"",E20*G20)</f>
        <v/>
      </c>
    </row>
    <row r="21">
      <c r="B21" s="10" t="n">
        <v>13</v>
      </c>
      <c r="C21" s="3" t="n"/>
      <c r="D21" s="11" t="n"/>
      <c r="E21" s="12" t="n"/>
      <c r="F21" s="11" t="n"/>
      <c r="G21" s="13" t="n"/>
      <c r="H21" s="14">
        <f>IF(OR(E21="",G21=""),"",E21*G21)</f>
        <v/>
      </c>
    </row>
    <row r="22">
      <c r="B22" s="10" t="n">
        <v>14</v>
      </c>
      <c r="C22" s="3" t="n"/>
      <c r="D22" s="11" t="n"/>
      <c r="E22" s="12" t="n"/>
      <c r="F22" s="11" t="n"/>
      <c r="G22" s="13" t="n"/>
      <c r="H22" s="14">
        <f>IF(OR(E22="",G22=""),"",E22*G22)</f>
        <v/>
      </c>
    </row>
    <row r="23">
      <c r="B23" s="10" t="n">
        <v>15</v>
      </c>
      <c r="C23" s="3" t="n"/>
      <c r="D23" s="11" t="n"/>
      <c r="E23" s="12" t="n"/>
      <c r="F23" s="11" t="n"/>
      <c r="G23" s="13" t="n"/>
      <c r="H23" s="14">
        <f>IF(OR(E23="",G23=""),"",E23*G23)</f>
        <v/>
      </c>
    </row>
    <row r="24">
      <c r="B24" s="10" t="n">
        <v>16</v>
      </c>
      <c r="C24" s="3" t="n"/>
      <c r="D24" s="11" t="n"/>
      <c r="E24" s="12" t="n"/>
      <c r="F24" s="11" t="n"/>
      <c r="G24" s="13" t="n"/>
      <c r="H24" s="14">
        <f>IF(OR(E24="",G24=""),"",E24*G24)</f>
        <v/>
      </c>
    </row>
    <row r="25">
      <c r="B25" s="10" t="n">
        <v>17</v>
      </c>
      <c r="C25" s="3" t="n"/>
      <c r="D25" s="11" t="n"/>
      <c r="E25" s="12" t="n"/>
      <c r="F25" s="11" t="n"/>
      <c r="G25" s="13" t="n"/>
      <c r="H25" s="14">
        <f>IF(OR(E25="",G25=""),"",E25*G25)</f>
        <v/>
      </c>
    </row>
    <row r="26">
      <c r="B26" s="10" t="n">
        <v>18</v>
      </c>
      <c r="C26" s="3" t="n"/>
      <c r="D26" s="11" t="n"/>
      <c r="E26" s="12" t="n"/>
      <c r="F26" s="11" t="n"/>
      <c r="G26" s="13" t="n"/>
      <c r="H26" s="14">
        <f>IF(OR(E26="",G26=""),"",E26*G26)</f>
        <v/>
      </c>
    </row>
    <row r="27">
      <c r="B27" s="10" t="n">
        <v>19</v>
      </c>
      <c r="C27" s="3" t="n"/>
      <c r="D27" s="11" t="n"/>
      <c r="E27" s="12" t="n"/>
      <c r="F27" s="11" t="n"/>
      <c r="G27" s="13" t="n"/>
      <c r="H27" s="14">
        <f>IF(OR(E27="",G27=""),"",E27*G27)</f>
        <v/>
      </c>
    </row>
    <row r="28">
      <c r="B28" s="10" t="n">
        <v>20</v>
      </c>
      <c r="C28" s="3" t="n"/>
      <c r="D28" s="11" t="n"/>
      <c r="E28" s="12" t="n"/>
      <c r="F28" s="11" t="n"/>
      <c r="G28" s="13" t="n"/>
      <c r="H28" s="14">
        <f>IF(OR(E28="",G28=""),"",E28*G28)</f>
        <v/>
      </c>
    </row>
    <row r="29">
      <c r="B29" s="10" t="n">
        <v>21</v>
      </c>
      <c r="C29" s="3" t="n"/>
      <c r="D29" s="11" t="n"/>
      <c r="E29" s="12" t="n"/>
      <c r="F29" s="11" t="n"/>
      <c r="G29" s="13" t="n"/>
      <c r="H29" s="14">
        <f>IF(OR(E29="",G29=""),"",E29*G29)</f>
        <v/>
      </c>
    </row>
    <row r="30">
      <c r="B30" s="10" t="n">
        <v>22</v>
      </c>
      <c r="C30" s="3" t="n"/>
      <c r="D30" s="11" t="n"/>
      <c r="E30" s="12" t="n"/>
      <c r="F30" s="11" t="n"/>
      <c r="G30" s="13" t="n"/>
      <c r="H30" s="14">
        <f>IF(OR(E30="",G30=""),"",E30*G30)</f>
        <v/>
      </c>
    </row>
    <row r="31">
      <c r="B31" s="10" t="n">
        <v>23</v>
      </c>
      <c r="C31" s="3" t="n"/>
      <c r="D31" s="11" t="n"/>
      <c r="E31" s="12" t="n"/>
      <c r="F31" s="11" t="n"/>
      <c r="G31" s="13" t="n"/>
      <c r="H31" s="14">
        <f>IF(OR(E31="",G31=""),"",E31*G31)</f>
        <v/>
      </c>
    </row>
    <row r="32">
      <c r="B32" s="10" t="n">
        <v>24</v>
      </c>
      <c r="C32" s="3" t="n"/>
      <c r="D32" s="11" t="n"/>
      <c r="E32" s="12" t="n"/>
      <c r="F32" s="11" t="n"/>
      <c r="G32" s="13" t="n"/>
      <c r="H32" s="14">
        <f>IF(OR(E32="",G32=""),"",E32*G32)</f>
        <v/>
      </c>
    </row>
    <row r="33">
      <c r="B33" s="10" t="n">
        <v>25</v>
      </c>
      <c r="C33" s="3" t="n"/>
      <c r="D33" s="11" t="n"/>
      <c r="E33" s="12" t="n"/>
      <c r="F33" s="11" t="n"/>
      <c r="G33" s="13" t="n"/>
      <c r="H33" s="14">
        <f>IF(OR(E33="",G33=""),"",E33*G33)</f>
        <v/>
      </c>
    </row>
    <row r="34">
      <c r="B34" s="10" t="n">
        <v>26</v>
      </c>
      <c r="C34" s="3" t="n"/>
      <c r="D34" s="11" t="n"/>
      <c r="E34" s="12" t="n"/>
      <c r="F34" s="11" t="n"/>
      <c r="G34" s="13" t="n"/>
      <c r="H34" s="14">
        <f>IF(OR(E34="",G34=""),"",E34*G34)</f>
        <v/>
      </c>
    </row>
    <row r="35">
      <c r="B35" s="10" t="n">
        <v>27</v>
      </c>
      <c r="C35" s="3" t="n"/>
      <c r="D35" s="11" t="n"/>
      <c r="E35" s="12" t="n"/>
      <c r="F35" s="11" t="n"/>
      <c r="G35" s="13" t="n"/>
      <c r="H35" s="14">
        <f>IF(OR(E35="",G35=""),"",E35*G35)</f>
        <v/>
      </c>
    </row>
    <row r="36">
      <c r="B36" s="10" t="n">
        <v>28</v>
      </c>
      <c r="C36" s="3" t="n"/>
      <c r="D36" s="11" t="n"/>
      <c r="E36" s="12" t="n"/>
      <c r="F36" s="11" t="n"/>
      <c r="G36" s="13" t="n"/>
      <c r="H36" s="14">
        <f>IF(OR(E36="",G36=""),"",E36*G36)</f>
        <v/>
      </c>
    </row>
    <row r="37">
      <c r="B37" s="10" t="n">
        <v>29</v>
      </c>
      <c r="C37" s="3" t="n"/>
      <c r="D37" s="11" t="n"/>
      <c r="E37" s="12" t="n"/>
      <c r="F37" s="11" t="n"/>
      <c r="G37" s="13" t="n"/>
      <c r="H37" s="14">
        <f>IF(OR(E37="",G37=""),"",E37*G37)</f>
        <v/>
      </c>
    </row>
    <row r="38">
      <c r="B38" s="10" t="n">
        <v>30</v>
      </c>
      <c r="C38" s="3" t="n"/>
      <c r="D38" s="11" t="n"/>
      <c r="E38" s="12" t="n"/>
      <c r="F38" s="11" t="n"/>
      <c r="G38" s="13" t="n"/>
      <c r="H38" s="14">
        <f>IF(OR(E38="",G38=""),"",E38*G38)</f>
        <v/>
      </c>
    </row>
    <row r="39">
      <c r="B39" s="15" t="inlineStr">
        <is>
          <t>مازاد بر قرارداد (1)</t>
        </is>
      </c>
      <c r="C39" s="3" t="n"/>
      <c r="D39" s="11" t="n"/>
      <c r="E39" s="12" t="n"/>
      <c r="F39" s="11" t="n"/>
      <c r="G39" s="13" t="n"/>
      <c r="H39" s="14">
        <f>IF(OR(E39="",G39=""),"",E39*G39)</f>
        <v/>
      </c>
    </row>
    <row r="40">
      <c r="B40" s="15" t="inlineStr">
        <is>
          <t>مازاد بر قرارداد (2)</t>
        </is>
      </c>
      <c r="C40" s="3" t="n"/>
      <c r="D40" s="11" t="n"/>
      <c r="E40" s="12" t="n"/>
      <c r="F40" s="11" t="n"/>
      <c r="G40" s="13" t="n"/>
      <c r="H40" s="14">
        <f>IF(OR(E40="",G40=""),"",E40*G40)</f>
        <v/>
      </c>
    </row>
    <row r="41">
      <c r="B41" s="15" t="inlineStr">
        <is>
          <t>مازاد بر قرارداد (3)</t>
        </is>
      </c>
      <c r="C41" s="3" t="n"/>
      <c r="D41" s="11" t="n"/>
      <c r="E41" s="12" t="n"/>
      <c r="F41" s="11" t="n"/>
      <c r="G41" s="13" t="n"/>
      <c r="H41" s="14">
        <f>IF(OR(E41="",G41=""),"",E41*G41)</f>
        <v/>
      </c>
    </row>
    <row r="42">
      <c r="B42" s="15" t="inlineStr">
        <is>
          <t>مازاد بر قرارداد (4)</t>
        </is>
      </c>
      <c r="C42" s="3" t="n"/>
      <c r="D42" s="11" t="n"/>
      <c r="E42" s="12" t="n"/>
      <c r="F42" s="11" t="n"/>
      <c r="G42" s="13" t="n"/>
      <c r="H42" s="14">
        <f>IF(OR(E42="",G42=""),"",E42*G42)</f>
        <v/>
      </c>
    </row>
    <row r="43">
      <c r="B43" s="15" t="inlineStr">
        <is>
          <t>مازاد بر قرارداد (5)</t>
        </is>
      </c>
      <c r="C43" s="3" t="n"/>
      <c r="D43" s="11" t="n"/>
      <c r="E43" s="12" t="n"/>
      <c r="F43" s="11" t="n"/>
      <c r="G43" s="13" t="n"/>
      <c r="H43" s="14">
        <f>IF(OR(E43="",G43=""),"",E43*G43)</f>
        <v/>
      </c>
    </row>
    <row r="44">
      <c r="B44" s="15" t="inlineStr">
        <is>
          <t>مازاد بر قرارداد (6)</t>
        </is>
      </c>
      <c r="C44" s="3" t="n"/>
      <c r="D44" s="11" t="n"/>
      <c r="E44" s="12" t="n"/>
      <c r="F44" s="11" t="n"/>
      <c r="G44" s="13" t="n"/>
      <c r="H44" s="14">
        <f>IF(OR(E44="",G44=""),"",E44*G44)</f>
        <v/>
      </c>
    </row>
    <row r="45">
      <c r="B45" s="15" t="inlineStr">
        <is>
          <t>مازاد بر قرارداد (7)</t>
        </is>
      </c>
      <c r="C45" s="3" t="n"/>
      <c r="D45" s="11" t="n"/>
      <c r="E45" s="12" t="n"/>
      <c r="F45" s="11" t="n"/>
      <c r="G45" s="13" t="n"/>
      <c r="H45" s="14">
        <f>IF(OR(E45="",G45=""),"",E45*G45)</f>
        <v/>
      </c>
    </row>
    <row r="46">
      <c r="B46" s="15" t="inlineStr">
        <is>
          <t>مازاد بر قرارداد (8)</t>
        </is>
      </c>
      <c r="C46" s="3" t="n"/>
      <c r="D46" s="11" t="n"/>
      <c r="E46" s="12" t="n"/>
      <c r="F46" s="11" t="n"/>
      <c r="G46" s="13" t="n"/>
      <c r="H46" s="14">
        <f>IF(OR(E46="",G46=""),"",E46*G46)</f>
        <v/>
      </c>
    </row>
    <row r="47">
      <c r="B47" s="15" t="inlineStr">
        <is>
          <t>مازاد بر قرارداد (9)</t>
        </is>
      </c>
      <c r="C47" s="3" t="n"/>
      <c r="D47" s="11" t="n"/>
      <c r="E47" s="12" t="n"/>
      <c r="F47" s="11" t="n"/>
      <c r="G47" s="13" t="n"/>
      <c r="H47" s="14">
        <f>IF(OR(E47="",G47=""),"",E47*G47)</f>
        <v/>
      </c>
    </row>
    <row r="48">
      <c r="B48" s="15" t="inlineStr">
        <is>
          <t>مازاد بر قرارداد (10)</t>
        </is>
      </c>
      <c r="C48" s="3" t="n"/>
      <c r="D48" s="11" t="n"/>
      <c r="E48" s="12" t="n"/>
      <c r="F48" s="11" t="n"/>
      <c r="G48" s="13" t="n"/>
      <c r="H48" s="14">
        <f>IF(OR(E48="",G48=""),"",E48*G48)</f>
        <v/>
      </c>
    </row>
    <row r="49">
      <c r="B49" s="16" t="inlineStr">
        <is>
          <t>جمع کل</t>
        </is>
      </c>
      <c r="C49" s="16" t="n"/>
      <c r="D49" s="16" t="n"/>
      <c r="E49" s="16" t="n"/>
      <c r="F49" s="16" t="n"/>
      <c r="G49" s="17">
        <f>SUMPRODUCT(--(LEFT(B9:B48,5)&lt;&gt;"مازاد"),H9:H48)</f>
        <v/>
      </c>
    </row>
    <row r="50">
      <c r="B50" s="16" t="inlineStr">
        <is>
          <t>تخفیف</t>
        </is>
      </c>
      <c r="C50" s="16" t="n"/>
      <c r="D50" s="16" t="n"/>
      <c r="E50" s="16" t="n"/>
      <c r="F50" s="16" t="n"/>
      <c r="G50" s="18" t="n"/>
      <c r="H50" s="6" t="inlineStr">
        <is>
          <t>← مبلغ تخفیف کل قرارداد (اختیاری، ریال)</t>
        </is>
      </c>
    </row>
  </sheetData>
  <mergeCells count="6">
    <mergeCell ref="C5:E5"/>
    <mergeCell ref="B1:H1"/>
    <mergeCell ref="C4:E4"/>
    <mergeCell ref="C3:E3"/>
    <mergeCell ref="B50:F50"/>
    <mergeCell ref="B49:F49"/>
  </mergeCells>
  <dataValidations count="2">
    <dataValidation sqref="F9:F48" showDropDown="0" showInputMessage="0" showErrorMessage="0" allowBlank="1" type="list">
      <formula1>"مترمربع,مترطول,مترمکعب,عدد,کیلوگرم,تن,دستگاه,سرویس,کنترات"</formula1>
    </dataValidation>
    <dataValidation sqref="D9:D48" showDropDown="0" showInputMessage="0" showErrorMessage="0" allowBlank="1" type="list">
      <formula1>"فروش / تأمین,نصب (مشمول بیمه),سایر"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46" customWidth="1" min="4" max="4"/>
    <col width="14" customWidth="1" min="5" max="5"/>
    <col width="16" customWidth="1" min="6" max="6"/>
    <col width="20" customWidth="1" min="7" max="7"/>
    <col width="36" customWidth="1" min="8" max="8"/>
  </cols>
  <sheetData>
    <row r="1">
      <c r="A1" s="19" t="inlineStr">
        <is>
          <t>ریزمتره (اختیاری — مقدار انجام‌شدهٔ هر آیتم در هر صورت وضعیت)</t>
        </is>
      </c>
    </row>
    <row r="3">
      <c r="A3" s="20" t="inlineStr">
        <is>
          <t>دوره کارکرد :</t>
        </is>
      </c>
      <c r="B3" s="21" t="n"/>
      <c r="C3" s="5" t="n"/>
      <c r="D3" s="6" t="inlineStr">
        <is>
          <t>(مثلاً ۱۴۰۵/۰۴/۲۲-۱۴۰۵/۰۶/۰۶ — دورهٔ آخرین صورت وضعیت)</t>
        </is>
      </c>
    </row>
    <row r="5">
      <c r="A5" s="9" t="inlineStr">
        <is>
          <t>آیتم قرارداد</t>
        </is>
      </c>
      <c r="B5" s="9" t="inlineStr">
        <is>
          <t>شماره صورت وضعیت</t>
        </is>
      </c>
      <c r="C5" s="9" t="inlineStr">
        <is>
          <t>تاریخ انجام</t>
        </is>
      </c>
      <c r="D5" s="9" t="inlineStr">
        <is>
          <t>شرح آیتم قرارداد</t>
        </is>
      </c>
      <c r="E5" s="9" t="inlineStr">
        <is>
          <t>مقدار انجام شده</t>
        </is>
      </c>
      <c r="F5" s="9" t="inlineStr">
        <is>
          <t>فی</t>
        </is>
      </c>
      <c r="G5" s="9" t="inlineStr">
        <is>
          <t>مبلغ</t>
        </is>
      </c>
      <c r="H5" s="9" t="inlineStr">
        <is>
          <t>توضیحات</t>
        </is>
      </c>
    </row>
    <row r="6">
      <c r="A6" s="11" t="n"/>
      <c r="B6" s="11" t="n"/>
      <c r="C6" s="11" t="n"/>
      <c r="D6" s="22">
        <f>IF(A6="","",IFERROR(VLOOKUP(A6,'صورت وضعیت پروژه'!$B$9:$G$48,2,0),"؟ آیتم پیدا نشد"))</f>
        <v/>
      </c>
      <c r="E6" s="11" t="n"/>
      <c r="F6" s="14">
        <f>IF(A6="","",IFERROR(VLOOKUP(A6,'صورت وضعیت پروژه'!$B$9:$G$48,6,0),""))</f>
        <v/>
      </c>
      <c r="G6" s="14">
        <f>IF(OR(E6="",F6=""),"",E6*F6)</f>
        <v/>
      </c>
      <c r="H6" s="3" t="n"/>
    </row>
    <row r="7">
      <c r="A7" s="11" t="n"/>
      <c r="B7" s="11" t="n"/>
      <c r="C7" s="11" t="n"/>
      <c r="D7" s="22">
        <f>IF(A7="","",IFERROR(VLOOKUP(A7,'صورت وضعیت پروژه'!$B$9:$G$48,2,0),"؟ آیتم پیدا نشد"))</f>
        <v/>
      </c>
      <c r="E7" s="11" t="n"/>
      <c r="F7" s="14">
        <f>IF(A7="","",IFERROR(VLOOKUP(A7,'صورت وضعیت پروژه'!$B$9:$G$48,6,0),""))</f>
        <v/>
      </c>
      <c r="G7" s="14">
        <f>IF(OR(E7="",F7=""),"",E7*F7)</f>
        <v/>
      </c>
      <c r="H7" s="3" t="n"/>
    </row>
    <row r="8">
      <c r="A8" s="11" t="n"/>
      <c r="B8" s="11" t="n"/>
      <c r="C8" s="11" t="n"/>
      <c r="D8" s="22">
        <f>IF(A8="","",IFERROR(VLOOKUP(A8,'صورت وضعیت پروژه'!$B$9:$G$48,2,0),"؟ آیتم پیدا نشد"))</f>
        <v/>
      </c>
      <c r="E8" s="11" t="n"/>
      <c r="F8" s="14">
        <f>IF(A8="","",IFERROR(VLOOKUP(A8,'صورت وضعیت پروژه'!$B$9:$G$48,6,0),""))</f>
        <v/>
      </c>
      <c r="G8" s="14">
        <f>IF(OR(E8="",F8=""),"",E8*F8)</f>
        <v/>
      </c>
      <c r="H8" s="3" t="n"/>
    </row>
    <row r="9">
      <c r="A9" s="11" t="n"/>
      <c r="B9" s="11" t="n"/>
      <c r="C9" s="11" t="n"/>
      <c r="D9" s="22">
        <f>IF(A9="","",IFERROR(VLOOKUP(A9,'صورت وضعیت پروژه'!$B$9:$G$48,2,0),"؟ آیتم پیدا نشد"))</f>
        <v/>
      </c>
      <c r="E9" s="11" t="n"/>
      <c r="F9" s="14">
        <f>IF(A9="","",IFERROR(VLOOKUP(A9,'صورت وضعیت پروژه'!$B$9:$G$48,6,0),""))</f>
        <v/>
      </c>
      <c r="G9" s="14">
        <f>IF(OR(E9="",F9=""),"",E9*F9)</f>
        <v/>
      </c>
      <c r="H9" s="3" t="n"/>
    </row>
    <row r="10">
      <c r="A10" s="11" t="n"/>
      <c r="B10" s="11" t="n"/>
      <c r="C10" s="11" t="n"/>
      <c r="D10" s="22">
        <f>IF(A10="","",IFERROR(VLOOKUP(A10,'صورت وضعیت پروژه'!$B$9:$G$48,2,0),"؟ آیتم پیدا نشد"))</f>
        <v/>
      </c>
      <c r="E10" s="11" t="n"/>
      <c r="F10" s="14">
        <f>IF(A10="","",IFERROR(VLOOKUP(A10,'صورت وضعیت پروژه'!$B$9:$G$48,6,0),""))</f>
        <v/>
      </c>
      <c r="G10" s="14">
        <f>IF(OR(E10="",F10=""),"",E10*F10)</f>
        <v/>
      </c>
      <c r="H10" s="3" t="n"/>
    </row>
    <row r="11">
      <c r="A11" s="11" t="n"/>
      <c r="B11" s="11" t="n"/>
      <c r="C11" s="11" t="n"/>
      <c r="D11" s="22">
        <f>IF(A11="","",IFERROR(VLOOKUP(A11,'صورت وضعیت پروژه'!$B$9:$G$48,2,0),"؟ آیتم پیدا نشد"))</f>
        <v/>
      </c>
      <c r="E11" s="11" t="n"/>
      <c r="F11" s="14">
        <f>IF(A11="","",IFERROR(VLOOKUP(A11,'صورت وضعیت پروژه'!$B$9:$G$48,6,0),""))</f>
        <v/>
      </c>
      <c r="G11" s="14">
        <f>IF(OR(E11="",F11=""),"",E11*F11)</f>
        <v/>
      </c>
      <c r="H11" s="3" t="n"/>
    </row>
    <row r="12">
      <c r="A12" s="11" t="n"/>
      <c r="B12" s="11" t="n"/>
      <c r="C12" s="11" t="n"/>
      <c r="D12" s="22">
        <f>IF(A12="","",IFERROR(VLOOKUP(A12,'صورت وضعیت پروژه'!$B$9:$G$48,2,0),"؟ آیتم پیدا نشد"))</f>
        <v/>
      </c>
      <c r="E12" s="11" t="n"/>
      <c r="F12" s="14">
        <f>IF(A12="","",IFERROR(VLOOKUP(A12,'صورت وضعیت پروژه'!$B$9:$G$48,6,0),""))</f>
        <v/>
      </c>
      <c r="G12" s="14">
        <f>IF(OR(E12="",F12=""),"",E12*F12)</f>
        <v/>
      </c>
      <c r="H12" s="3" t="n"/>
    </row>
    <row r="13">
      <c r="A13" s="11" t="n"/>
      <c r="B13" s="11" t="n"/>
      <c r="C13" s="11" t="n"/>
      <c r="D13" s="22">
        <f>IF(A13="","",IFERROR(VLOOKUP(A13,'صورت وضعیت پروژه'!$B$9:$G$48,2,0),"؟ آیتم پیدا نشد"))</f>
        <v/>
      </c>
      <c r="E13" s="11" t="n"/>
      <c r="F13" s="14">
        <f>IF(A13="","",IFERROR(VLOOKUP(A13,'صورت وضعیت پروژه'!$B$9:$G$48,6,0),""))</f>
        <v/>
      </c>
      <c r="G13" s="14">
        <f>IF(OR(E13="",F13=""),"",E13*F13)</f>
        <v/>
      </c>
      <c r="H13" s="3" t="n"/>
    </row>
    <row r="14">
      <c r="A14" s="11" t="n"/>
      <c r="B14" s="11" t="n"/>
      <c r="C14" s="11" t="n"/>
      <c r="D14" s="22">
        <f>IF(A14="","",IFERROR(VLOOKUP(A14,'صورت وضعیت پروژه'!$B$9:$G$48,2,0),"؟ آیتم پیدا نشد"))</f>
        <v/>
      </c>
      <c r="E14" s="11" t="n"/>
      <c r="F14" s="14">
        <f>IF(A14="","",IFERROR(VLOOKUP(A14,'صورت وضعیت پروژه'!$B$9:$G$48,6,0),""))</f>
        <v/>
      </c>
      <c r="G14" s="14">
        <f>IF(OR(E14="",F14=""),"",E14*F14)</f>
        <v/>
      </c>
      <c r="H14" s="3" t="n"/>
    </row>
    <row r="15">
      <c r="A15" s="11" t="n"/>
      <c r="B15" s="11" t="n"/>
      <c r="C15" s="11" t="n"/>
      <c r="D15" s="22">
        <f>IF(A15="","",IFERROR(VLOOKUP(A15,'صورت وضعیت پروژه'!$B$9:$G$48,2,0),"؟ آیتم پیدا نشد"))</f>
        <v/>
      </c>
      <c r="E15" s="11" t="n"/>
      <c r="F15" s="14">
        <f>IF(A15="","",IFERROR(VLOOKUP(A15,'صورت وضعیت پروژه'!$B$9:$G$48,6,0),""))</f>
        <v/>
      </c>
      <c r="G15" s="14">
        <f>IF(OR(E15="",F15=""),"",E15*F15)</f>
        <v/>
      </c>
      <c r="H15" s="3" t="n"/>
    </row>
    <row r="16">
      <c r="A16" s="11" t="n"/>
      <c r="B16" s="11" t="n"/>
      <c r="C16" s="11" t="n"/>
      <c r="D16" s="22">
        <f>IF(A16="","",IFERROR(VLOOKUP(A16,'صورت وضعیت پروژه'!$B$9:$G$48,2,0),"؟ آیتم پیدا نشد"))</f>
        <v/>
      </c>
      <c r="E16" s="11" t="n"/>
      <c r="F16" s="14">
        <f>IF(A16="","",IFERROR(VLOOKUP(A16,'صورت وضعیت پروژه'!$B$9:$G$48,6,0),""))</f>
        <v/>
      </c>
      <c r="G16" s="14">
        <f>IF(OR(E16="",F16=""),"",E16*F16)</f>
        <v/>
      </c>
      <c r="H16" s="3" t="n"/>
    </row>
    <row r="17">
      <c r="A17" s="11" t="n"/>
      <c r="B17" s="11" t="n"/>
      <c r="C17" s="11" t="n"/>
      <c r="D17" s="22">
        <f>IF(A17="","",IFERROR(VLOOKUP(A17,'صورت وضعیت پروژه'!$B$9:$G$48,2,0),"؟ آیتم پیدا نشد"))</f>
        <v/>
      </c>
      <c r="E17" s="11" t="n"/>
      <c r="F17" s="14">
        <f>IF(A17="","",IFERROR(VLOOKUP(A17,'صورت وضعیت پروژه'!$B$9:$G$48,6,0),""))</f>
        <v/>
      </c>
      <c r="G17" s="14">
        <f>IF(OR(E17="",F17=""),"",E17*F17)</f>
        <v/>
      </c>
      <c r="H17" s="3" t="n"/>
    </row>
    <row r="18">
      <c r="A18" s="11" t="n"/>
      <c r="B18" s="11" t="n"/>
      <c r="C18" s="11" t="n"/>
      <c r="D18" s="22">
        <f>IF(A18="","",IFERROR(VLOOKUP(A18,'صورت وضعیت پروژه'!$B$9:$G$48,2,0),"؟ آیتم پیدا نشد"))</f>
        <v/>
      </c>
      <c r="E18" s="11" t="n"/>
      <c r="F18" s="14">
        <f>IF(A18="","",IFERROR(VLOOKUP(A18,'صورت وضعیت پروژه'!$B$9:$G$48,6,0),""))</f>
        <v/>
      </c>
      <c r="G18" s="14">
        <f>IF(OR(E18="",F18=""),"",E18*F18)</f>
        <v/>
      </c>
      <c r="H18" s="3" t="n"/>
    </row>
    <row r="19">
      <c r="A19" s="11" t="n"/>
      <c r="B19" s="11" t="n"/>
      <c r="C19" s="11" t="n"/>
      <c r="D19" s="22">
        <f>IF(A19="","",IFERROR(VLOOKUP(A19,'صورت وضعیت پروژه'!$B$9:$G$48,2,0),"؟ آیتم پیدا نشد"))</f>
        <v/>
      </c>
      <c r="E19" s="11" t="n"/>
      <c r="F19" s="14">
        <f>IF(A19="","",IFERROR(VLOOKUP(A19,'صورت وضعیت پروژه'!$B$9:$G$48,6,0),""))</f>
        <v/>
      </c>
      <c r="G19" s="14">
        <f>IF(OR(E19="",F19=""),"",E19*F19)</f>
        <v/>
      </c>
      <c r="H19" s="3" t="n"/>
    </row>
    <row r="20">
      <c r="A20" s="11" t="n"/>
      <c r="B20" s="11" t="n"/>
      <c r="C20" s="11" t="n"/>
      <c r="D20" s="22">
        <f>IF(A20="","",IFERROR(VLOOKUP(A20,'صورت وضعیت پروژه'!$B$9:$G$48,2,0),"؟ آیتم پیدا نشد"))</f>
        <v/>
      </c>
      <c r="E20" s="11" t="n"/>
      <c r="F20" s="14">
        <f>IF(A20="","",IFERROR(VLOOKUP(A20,'صورت وضعیت پروژه'!$B$9:$G$48,6,0),""))</f>
        <v/>
      </c>
      <c r="G20" s="14">
        <f>IF(OR(E20="",F20=""),"",E20*F20)</f>
        <v/>
      </c>
      <c r="H20" s="3" t="n"/>
    </row>
    <row r="21">
      <c r="A21" s="11" t="n"/>
      <c r="B21" s="11" t="n"/>
      <c r="C21" s="11" t="n"/>
      <c r="D21" s="22">
        <f>IF(A21="","",IFERROR(VLOOKUP(A21,'صورت وضعیت پروژه'!$B$9:$G$48,2,0),"؟ آیتم پیدا نشد"))</f>
        <v/>
      </c>
      <c r="E21" s="11" t="n"/>
      <c r="F21" s="14">
        <f>IF(A21="","",IFERROR(VLOOKUP(A21,'صورت وضعیت پروژه'!$B$9:$G$48,6,0),""))</f>
        <v/>
      </c>
      <c r="G21" s="14">
        <f>IF(OR(E21="",F21=""),"",E21*F21)</f>
        <v/>
      </c>
      <c r="H21" s="3" t="n"/>
    </row>
    <row r="22">
      <c r="A22" s="11" t="n"/>
      <c r="B22" s="11" t="n"/>
      <c r="C22" s="11" t="n"/>
      <c r="D22" s="22">
        <f>IF(A22="","",IFERROR(VLOOKUP(A22,'صورت وضعیت پروژه'!$B$9:$G$48,2,0),"؟ آیتم پیدا نشد"))</f>
        <v/>
      </c>
      <c r="E22" s="11" t="n"/>
      <c r="F22" s="14">
        <f>IF(A22="","",IFERROR(VLOOKUP(A22,'صورت وضعیت پروژه'!$B$9:$G$48,6,0),""))</f>
        <v/>
      </c>
      <c r="G22" s="14">
        <f>IF(OR(E22="",F22=""),"",E22*F22)</f>
        <v/>
      </c>
      <c r="H22" s="3" t="n"/>
    </row>
    <row r="23">
      <c r="A23" s="11" t="n"/>
      <c r="B23" s="11" t="n"/>
      <c r="C23" s="11" t="n"/>
      <c r="D23" s="22">
        <f>IF(A23="","",IFERROR(VLOOKUP(A23,'صورت وضعیت پروژه'!$B$9:$G$48,2,0),"؟ آیتم پیدا نشد"))</f>
        <v/>
      </c>
      <c r="E23" s="11" t="n"/>
      <c r="F23" s="14">
        <f>IF(A23="","",IFERROR(VLOOKUP(A23,'صورت وضعیت پروژه'!$B$9:$G$48,6,0),""))</f>
        <v/>
      </c>
      <c r="G23" s="14">
        <f>IF(OR(E23="",F23=""),"",E23*F23)</f>
        <v/>
      </c>
      <c r="H23" s="3" t="n"/>
    </row>
    <row r="24">
      <c r="A24" s="11" t="n"/>
      <c r="B24" s="11" t="n"/>
      <c r="C24" s="11" t="n"/>
      <c r="D24" s="22">
        <f>IF(A24="","",IFERROR(VLOOKUP(A24,'صورت وضعیت پروژه'!$B$9:$G$48,2,0),"؟ آیتم پیدا نشد"))</f>
        <v/>
      </c>
      <c r="E24" s="11" t="n"/>
      <c r="F24" s="14">
        <f>IF(A24="","",IFERROR(VLOOKUP(A24,'صورت وضعیت پروژه'!$B$9:$G$48,6,0),""))</f>
        <v/>
      </c>
      <c r="G24" s="14">
        <f>IF(OR(E24="",F24=""),"",E24*F24)</f>
        <v/>
      </c>
      <c r="H24" s="3" t="n"/>
    </row>
    <row r="25">
      <c r="A25" s="11" t="n"/>
      <c r="B25" s="11" t="n"/>
      <c r="C25" s="11" t="n"/>
      <c r="D25" s="22">
        <f>IF(A25="","",IFERROR(VLOOKUP(A25,'صورت وضعیت پروژه'!$B$9:$G$48,2,0),"؟ آیتم پیدا نشد"))</f>
        <v/>
      </c>
      <c r="E25" s="11" t="n"/>
      <c r="F25" s="14">
        <f>IF(A25="","",IFERROR(VLOOKUP(A25,'صورت وضعیت پروژه'!$B$9:$G$48,6,0),""))</f>
        <v/>
      </c>
      <c r="G25" s="14">
        <f>IF(OR(E25="",F25=""),"",E25*F25)</f>
        <v/>
      </c>
      <c r="H25" s="3" t="n"/>
    </row>
    <row r="26">
      <c r="A26" s="11" t="n"/>
      <c r="B26" s="11" t="n"/>
      <c r="C26" s="11" t="n"/>
      <c r="D26" s="22">
        <f>IF(A26="","",IFERROR(VLOOKUP(A26,'صورت وضعیت پروژه'!$B$9:$G$48,2,0),"؟ آیتم پیدا نشد"))</f>
        <v/>
      </c>
      <c r="E26" s="11" t="n"/>
      <c r="F26" s="14">
        <f>IF(A26="","",IFERROR(VLOOKUP(A26,'صورت وضعیت پروژه'!$B$9:$G$48,6,0),""))</f>
        <v/>
      </c>
      <c r="G26" s="14">
        <f>IF(OR(E26="",F26=""),"",E26*F26)</f>
        <v/>
      </c>
      <c r="H26" s="3" t="n"/>
    </row>
    <row r="27">
      <c r="A27" s="11" t="n"/>
      <c r="B27" s="11" t="n"/>
      <c r="C27" s="11" t="n"/>
      <c r="D27" s="22">
        <f>IF(A27="","",IFERROR(VLOOKUP(A27,'صورت وضعیت پروژه'!$B$9:$G$48,2,0),"؟ آیتم پیدا نشد"))</f>
        <v/>
      </c>
      <c r="E27" s="11" t="n"/>
      <c r="F27" s="14">
        <f>IF(A27="","",IFERROR(VLOOKUP(A27,'صورت وضعیت پروژه'!$B$9:$G$48,6,0),""))</f>
        <v/>
      </c>
      <c r="G27" s="14">
        <f>IF(OR(E27="",F27=""),"",E27*F27)</f>
        <v/>
      </c>
      <c r="H27" s="3" t="n"/>
    </row>
    <row r="28">
      <c r="A28" s="11" t="n"/>
      <c r="B28" s="11" t="n"/>
      <c r="C28" s="11" t="n"/>
      <c r="D28" s="22">
        <f>IF(A28="","",IFERROR(VLOOKUP(A28,'صورت وضعیت پروژه'!$B$9:$G$48,2,0),"؟ آیتم پیدا نشد"))</f>
        <v/>
      </c>
      <c r="E28" s="11" t="n"/>
      <c r="F28" s="14">
        <f>IF(A28="","",IFERROR(VLOOKUP(A28,'صورت وضعیت پروژه'!$B$9:$G$48,6,0),""))</f>
        <v/>
      </c>
      <c r="G28" s="14">
        <f>IF(OR(E28="",F28=""),"",E28*F28)</f>
        <v/>
      </c>
      <c r="H28" s="3" t="n"/>
    </row>
    <row r="29">
      <c r="A29" s="11" t="n"/>
      <c r="B29" s="11" t="n"/>
      <c r="C29" s="11" t="n"/>
      <c r="D29" s="22">
        <f>IF(A29="","",IFERROR(VLOOKUP(A29,'صورت وضعیت پروژه'!$B$9:$G$48,2,0),"؟ آیتم پیدا نشد"))</f>
        <v/>
      </c>
      <c r="E29" s="11" t="n"/>
      <c r="F29" s="14">
        <f>IF(A29="","",IFERROR(VLOOKUP(A29,'صورت وضعیت پروژه'!$B$9:$G$48,6,0),""))</f>
        <v/>
      </c>
      <c r="G29" s="14">
        <f>IF(OR(E29="",F29=""),"",E29*F29)</f>
        <v/>
      </c>
      <c r="H29" s="3" t="n"/>
    </row>
    <row r="30">
      <c r="A30" s="11" t="n"/>
      <c r="B30" s="11" t="n"/>
      <c r="C30" s="11" t="n"/>
      <c r="D30" s="22">
        <f>IF(A30="","",IFERROR(VLOOKUP(A30,'صورت وضعیت پروژه'!$B$9:$G$48,2,0),"؟ آیتم پیدا نشد"))</f>
        <v/>
      </c>
      <c r="E30" s="11" t="n"/>
      <c r="F30" s="14">
        <f>IF(A30="","",IFERROR(VLOOKUP(A30,'صورت وضعیت پروژه'!$B$9:$G$48,6,0),""))</f>
        <v/>
      </c>
      <c r="G30" s="14">
        <f>IF(OR(E30="",F30=""),"",E30*F30)</f>
        <v/>
      </c>
      <c r="H30" s="3" t="n"/>
    </row>
    <row r="31">
      <c r="A31" s="11" t="n"/>
      <c r="B31" s="11" t="n"/>
      <c r="C31" s="11" t="n"/>
      <c r="D31" s="22">
        <f>IF(A31="","",IFERROR(VLOOKUP(A31,'صورت وضعیت پروژه'!$B$9:$G$48,2,0),"؟ آیتم پیدا نشد"))</f>
        <v/>
      </c>
      <c r="E31" s="11" t="n"/>
      <c r="F31" s="14">
        <f>IF(A31="","",IFERROR(VLOOKUP(A31,'صورت وضعیت پروژه'!$B$9:$G$48,6,0),""))</f>
        <v/>
      </c>
      <c r="G31" s="14">
        <f>IF(OR(E31="",F31=""),"",E31*F31)</f>
        <v/>
      </c>
      <c r="H31" s="3" t="n"/>
    </row>
    <row r="32">
      <c r="A32" s="11" t="n"/>
      <c r="B32" s="11" t="n"/>
      <c r="C32" s="11" t="n"/>
      <c r="D32" s="22">
        <f>IF(A32="","",IFERROR(VLOOKUP(A32,'صورت وضعیت پروژه'!$B$9:$G$48,2,0),"؟ آیتم پیدا نشد"))</f>
        <v/>
      </c>
      <c r="E32" s="11" t="n"/>
      <c r="F32" s="14">
        <f>IF(A32="","",IFERROR(VLOOKUP(A32,'صورت وضعیت پروژه'!$B$9:$G$48,6,0),""))</f>
        <v/>
      </c>
      <c r="G32" s="14">
        <f>IF(OR(E32="",F32=""),"",E32*F32)</f>
        <v/>
      </c>
      <c r="H32" s="3" t="n"/>
    </row>
    <row r="33">
      <c r="A33" s="11" t="n"/>
      <c r="B33" s="11" t="n"/>
      <c r="C33" s="11" t="n"/>
      <c r="D33" s="22">
        <f>IF(A33="","",IFERROR(VLOOKUP(A33,'صورت وضعیت پروژه'!$B$9:$G$48,2,0),"؟ آیتم پیدا نشد"))</f>
        <v/>
      </c>
      <c r="E33" s="11" t="n"/>
      <c r="F33" s="14">
        <f>IF(A33="","",IFERROR(VLOOKUP(A33,'صورت وضعیت پروژه'!$B$9:$G$48,6,0),""))</f>
        <v/>
      </c>
      <c r="G33" s="14">
        <f>IF(OR(E33="",F33=""),"",E33*F33)</f>
        <v/>
      </c>
      <c r="H33" s="3" t="n"/>
    </row>
    <row r="34">
      <c r="A34" s="11" t="n"/>
      <c r="B34" s="11" t="n"/>
      <c r="C34" s="11" t="n"/>
      <c r="D34" s="22">
        <f>IF(A34="","",IFERROR(VLOOKUP(A34,'صورت وضعیت پروژه'!$B$9:$G$48,2,0),"؟ آیتم پیدا نشد"))</f>
        <v/>
      </c>
      <c r="E34" s="11" t="n"/>
      <c r="F34" s="14">
        <f>IF(A34="","",IFERROR(VLOOKUP(A34,'صورت وضعیت پروژه'!$B$9:$G$48,6,0),""))</f>
        <v/>
      </c>
      <c r="G34" s="14">
        <f>IF(OR(E34="",F34=""),"",E34*F34)</f>
        <v/>
      </c>
      <c r="H34" s="3" t="n"/>
    </row>
    <row r="35">
      <c r="A35" s="11" t="n"/>
      <c r="B35" s="11" t="n"/>
      <c r="C35" s="11" t="n"/>
      <c r="D35" s="22">
        <f>IF(A35="","",IFERROR(VLOOKUP(A35,'صورت وضعیت پروژه'!$B$9:$G$48,2,0),"؟ آیتم پیدا نشد"))</f>
        <v/>
      </c>
      <c r="E35" s="11" t="n"/>
      <c r="F35" s="14">
        <f>IF(A35="","",IFERROR(VLOOKUP(A35,'صورت وضعیت پروژه'!$B$9:$G$48,6,0),""))</f>
        <v/>
      </c>
      <c r="G35" s="14">
        <f>IF(OR(E35="",F35=""),"",E35*F35)</f>
        <v/>
      </c>
      <c r="H35" s="3" t="n"/>
    </row>
    <row r="36">
      <c r="A36" s="11" t="n"/>
      <c r="B36" s="11" t="n"/>
      <c r="C36" s="11" t="n"/>
      <c r="D36" s="22">
        <f>IF(A36="","",IFERROR(VLOOKUP(A36,'صورت وضعیت پروژه'!$B$9:$G$48,2,0),"؟ آیتم پیدا نشد"))</f>
        <v/>
      </c>
      <c r="E36" s="11" t="n"/>
      <c r="F36" s="14">
        <f>IF(A36="","",IFERROR(VLOOKUP(A36,'صورت وضعیت پروژه'!$B$9:$G$48,6,0),""))</f>
        <v/>
      </c>
      <c r="G36" s="14">
        <f>IF(OR(E36="",F36=""),"",E36*F36)</f>
        <v/>
      </c>
      <c r="H36" s="3" t="n"/>
    </row>
    <row r="37">
      <c r="A37" s="11" t="n"/>
      <c r="B37" s="11" t="n"/>
      <c r="C37" s="11" t="n"/>
      <c r="D37" s="22">
        <f>IF(A37="","",IFERROR(VLOOKUP(A37,'صورت وضعیت پروژه'!$B$9:$G$48,2,0),"؟ آیتم پیدا نشد"))</f>
        <v/>
      </c>
      <c r="E37" s="11" t="n"/>
      <c r="F37" s="14">
        <f>IF(A37="","",IFERROR(VLOOKUP(A37,'صورت وضعیت پروژه'!$B$9:$G$48,6,0),""))</f>
        <v/>
      </c>
      <c r="G37" s="14">
        <f>IF(OR(E37="",F37=""),"",E37*F37)</f>
        <v/>
      </c>
      <c r="H37" s="3" t="n"/>
    </row>
    <row r="38">
      <c r="A38" s="11" t="n"/>
      <c r="B38" s="11" t="n"/>
      <c r="C38" s="11" t="n"/>
      <c r="D38" s="22">
        <f>IF(A38="","",IFERROR(VLOOKUP(A38,'صورت وضعیت پروژه'!$B$9:$G$48,2,0),"؟ آیتم پیدا نشد"))</f>
        <v/>
      </c>
      <c r="E38" s="11" t="n"/>
      <c r="F38" s="14">
        <f>IF(A38="","",IFERROR(VLOOKUP(A38,'صورت وضعیت پروژه'!$B$9:$G$48,6,0),""))</f>
        <v/>
      </c>
      <c r="G38" s="14">
        <f>IF(OR(E38="",F38=""),"",E38*F38)</f>
        <v/>
      </c>
      <c r="H38" s="3" t="n"/>
    </row>
    <row r="39">
      <c r="A39" s="11" t="n"/>
      <c r="B39" s="11" t="n"/>
      <c r="C39" s="11" t="n"/>
      <c r="D39" s="22">
        <f>IF(A39="","",IFERROR(VLOOKUP(A39,'صورت وضعیت پروژه'!$B$9:$G$48,2,0),"؟ آیتم پیدا نشد"))</f>
        <v/>
      </c>
      <c r="E39" s="11" t="n"/>
      <c r="F39" s="14">
        <f>IF(A39="","",IFERROR(VLOOKUP(A39,'صورت وضعیت پروژه'!$B$9:$G$48,6,0),""))</f>
        <v/>
      </c>
      <c r="G39" s="14">
        <f>IF(OR(E39="",F39=""),"",E39*F39)</f>
        <v/>
      </c>
      <c r="H39" s="3" t="n"/>
    </row>
    <row r="40">
      <c r="A40" s="11" t="n"/>
      <c r="B40" s="11" t="n"/>
      <c r="C40" s="11" t="n"/>
      <c r="D40" s="22">
        <f>IF(A40="","",IFERROR(VLOOKUP(A40,'صورت وضعیت پروژه'!$B$9:$G$48,2,0),"؟ آیتم پیدا نشد"))</f>
        <v/>
      </c>
      <c r="E40" s="11" t="n"/>
      <c r="F40" s="14">
        <f>IF(A40="","",IFERROR(VLOOKUP(A40,'صورت وضعیت پروژه'!$B$9:$G$48,6,0),""))</f>
        <v/>
      </c>
      <c r="G40" s="14">
        <f>IF(OR(E40="",F40=""),"",E40*F40)</f>
        <v/>
      </c>
      <c r="H40" s="3" t="n"/>
    </row>
    <row r="41">
      <c r="A41" s="11" t="n"/>
      <c r="B41" s="11" t="n"/>
      <c r="C41" s="11" t="n"/>
      <c r="D41" s="22">
        <f>IF(A41="","",IFERROR(VLOOKUP(A41,'صورت وضعیت پروژه'!$B$9:$G$48,2,0),"؟ آیتم پیدا نشد"))</f>
        <v/>
      </c>
      <c r="E41" s="11" t="n"/>
      <c r="F41" s="14">
        <f>IF(A41="","",IFERROR(VLOOKUP(A41,'صورت وضعیت پروژه'!$B$9:$G$48,6,0),""))</f>
        <v/>
      </c>
      <c r="G41" s="14">
        <f>IF(OR(E41="",F41=""),"",E41*F41)</f>
        <v/>
      </c>
      <c r="H41" s="3" t="n"/>
    </row>
    <row r="42">
      <c r="A42" s="11" t="n"/>
      <c r="B42" s="11" t="n"/>
      <c r="C42" s="11" t="n"/>
      <c r="D42" s="22">
        <f>IF(A42="","",IFERROR(VLOOKUP(A42,'صورت وضعیت پروژه'!$B$9:$G$48,2,0),"؟ آیتم پیدا نشد"))</f>
        <v/>
      </c>
      <c r="E42" s="11" t="n"/>
      <c r="F42" s="14">
        <f>IF(A42="","",IFERROR(VLOOKUP(A42,'صورت وضعیت پروژه'!$B$9:$G$48,6,0),""))</f>
        <v/>
      </c>
      <c r="G42" s="14">
        <f>IF(OR(E42="",F42=""),"",E42*F42)</f>
        <v/>
      </c>
      <c r="H42" s="3" t="n"/>
    </row>
    <row r="43">
      <c r="A43" s="11" t="n"/>
      <c r="B43" s="11" t="n"/>
      <c r="C43" s="11" t="n"/>
      <c r="D43" s="22">
        <f>IF(A43="","",IFERROR(VLOOKUP(A43,'صورت وضعیت پروژه'!$B$9:$G$48,2,0),"؟ آیتم پیدا نشد"))</f>
        <v/>
      </c>
      <c r="E43" s="11" t="n"/>
      <c r="F43" s="14">
        <f>IF(A43="","",IFERROR(VLOOKUP(A43,'صورت وضعیت پروژه'!$B$9:$G$48,6,0),""))</f>
        <v/>
      </c>
      <c r="G43" s="14">
        <f>IF(OR(E43="",F43=""),"",E43*F43)</f>
        <v/>
      </c>
      <c r="H43" s="3" t="n"/>
    </row>
    <row r="44">
      <c r="A44" s="11" t="n"/>
      <c r="B44" s="11" t="n"/>
      <c r="C44" s="11" t="n"/>
      <c r="D44" s="22">
        <f>IF(A44="","",IFERROR(VLOOKUP(A44,'صورت وضعیت پروژه'!$B$9:$G$48,2,0),"؟ آیتم پیدا نشد"))</f>
        <v/>
      </c>
      <c r="E44" s="11" t="n"/>
      <c r="F44" s="14">
        <f>IF(A44="","",IFERROR(VLOOKUP(A44,'صورت وضعیت پروژه'!$B$9:$G$48,6,0),""))</f>
        <v/>
      </c>
      <c r="G44" s="14">
        <f>IF(OR(E44="",F44=""),"",E44*F44)</f>
        <v/>
      </c>
      <c r="H44" s="3" t="n"/>
    </row>
    <row r="45">
      <c r="A45" s="11" t="n"/>
      <c r="B45" s="11" t="n"/>
      <c r="C45" s="11" t="n"/>
      <c r="D45" s="22">
        <f>IF(A45="","",IFERROR(VLOOKUP(A45,'صورت وضعیت پروژه'!$B$9:$G$48,2,0),"؟ آیتم پیدا نشد"))</f>
        <v/>
      </c>
      <c r="E45" s="11" t="n"/>
      <c r="F45" s="14">
        <f>IF(A45="","",IFERROR(VLOOKUP(A45,'صورت وضعیت پروژه'!$B$9:$G$48,6,0),""))</f>
        <v/>
      </c>
      <c r="G45" s="14">
        <f>IF(OR(E45="",F45=""),"",E45*F45)</f>
        <v/>
      </c>
      <c r="H45" s="3" t="n"/>
    </row>
    <row r="46">
      <c r="A46" s="11" t="n"/>
      <c r="B46" s="11" t="n"/>
      <c r="C46" s="11" t="n"/>
      <c r="D46" s="22">
        <f>IF(A46="","",IFERROR(VLOOKUP(A46,'صورت وضعیت پروژه'!$B$9:$G$48,2,0),"؟ آیتم پیدا نشد"))</f>
        <v/>
      </c>
      <c r="E46" s="11" t="n"/>
      <c r="F46" s="14">
        <f>IF(A46="","",IFERROR(VLOOKUP(A46,'صورت وضعیت پروژه'!$B$9:$G$48,6,0),""))</f>
        <v/>
      </c>
      <c r="G46" s="14">
        <f>IF(OR(E46="",F46=""),"",E46*F46)</f>
        <v/>
      </c>
      <c r="H46" s="3" t="n"/>
    </row>
    <row r="47">
      <c r="A47" s="11" t="n"/>
      <c r="B47" s="11" t="n"/>
      <c r="C47" s="11" t="n"/>
      <c r="D47" s="22">
        <f>IF(A47="","",IFERROR(VLOOKUP(A47,'صورت وضعیت پروژه'!$B$9:$G$48,2,0),"؟ آیتم پیدا نشد"))</f>
        <v/>
      </c>
      <c r="E47" s="11" t="n"/>
      <c r="F47" s="14">
        <f>IF(A47="","",IFERROR(VLOOKUP(A47,'صورت وضعیت پروژه'!$B$9:$G$48,6,0),""))</f>
        <v/>
      </c>
      <c r="G47" s="14">
        <f>IF(OR(E47="",F47=""),"",E47*F47)</f>
        <v/>
      </c>
      <c r="H47" s="3" t="n"/>
    </row>
    <row r="48">
      <c r="A48" s="11" t="n"/>
      <c r="B48" s="11" t="n"/>
      <c r="C48" s="11" t="n"/>
      <c r="D48" s="22">
        <f>IF(A48="","",IFERROR(VLOOKUP(A48,'صورت وضعیت پروژه'!$B$9:$G$48,2,0),"؟ آیتم پیدا نشد"))</f>
        <v/>
      </c>
      <c r="E48" s="11" t="n"/>
      <c r="F48" s="14">
        <f>IF(A48="","",IFERROR(VLOOKUP(A48,'صورت وضعیت پروژه'!$B$9:$G$48,6,0),""))</f>
        <v/>
      </c>
      <c r="G48" s="14">
        <f>IF(OR(E48="",F48=""),"",E48*F48)</f>
        <v/>
      </c>
      <c r="H48" s="3" t="n"/>
    </row>
    <row r="49">
      <c r="A49" s="11" t="n"/>
      <c r="B49" s="11" t="n"/>
      <c r="C49" s="11" t="n"/>
      <c r="D49" s="22">
        <f>IF(A49="","",IFERROR(VLOOKUP(A49,'صورت وضعیت پروژه'!$B$9:$G$48,2,0),"؟ آیتم پیدا نشد"))</f>
        <v/>
      </c>
      <c r="E49" s="11" t="n"/>
      <c r="F49" s="14">
        <f>IF(A49="","",IFERROR(VLOOKUP(A49,'صورت وضعیت پروژه'!$B$9:$G$48,6,0),""))</f>
        <v/>
      </c>
      <c r="G49" s="14">
        <f>IF(OR(E49="",F49=""),"",E49*F49)</f>
        <v/>
      </c>
      <c r="H49" s="3" t="n"/>
    </row>
    <row r="50">
      <c r="A50" s="11" t="n"/>
      <c r="B50" s="11" t="n"/>
      <c r="C50" s="11" t="n"/>
      <c r="D50" s="22">
        <f>IF(A50="","",IFERROR(VLOOKUP(A50,'صورت وضعیت پروژه'!$B$9:$G$48,2,0),"؟ آیتم پیدا نشد"))</f>
        <v/>
      </c>
      <c r="E50" s="11" t="n"/>
      <c r="F50" s="14">
        <f>IF(A50="","",IFERROR(VLOOKUP(A50,'صورت وضعیت پروژه'!$B$9:$G$48,6,0),""))</f>
        <v/>
      </c>
      <c r="G50" s="14">
        <f>IF(OR(E50="",F50=""),"",E50*F50)</f>
        <v/>
      </c>
      <c r="H50" s="3" t="n"/>
    </row>
    <row r="51">
      <c r="A51" s="11" t="n"/>
      <c r="B51" s="11" t="n"/>
      <c r="C51" s="11" t="n"/>
      <c r="D51" s="22">
        <f>IF(A51="","",IFERROR(VLOOKUP(A51,'صورت وضعیت پروژه'!$B$9:$G$48,2,0),"؟ آیتم پیدا نشد"))</f>
        <v/>
      </c>
      <c r="E51" s="11" t="n"/>
      <c r="F51" s="14">
        <f>IF(A51="","",IFERROR(VLOOKUP(A51,'صورت وضعیت پروژه'!$B$9:$G$48,6,0),""))</f>
        <v/>
      </c>
      <c r="G51" s="14">
        <f>IF(OR(E51="",F51=""),"",E51*F51)</f>
        <v/>
      </c>
      <c r="H51" s="3" t="n"/>
    </row>
    <row r="52">
      <c r="A52" s="11" t="n"/>
      <c r="B52" s="11" t="n"/>
      <c r="C52" s="11" t="n"/>
      <c r="D52" s="22">
        <f>IF(A52="","",IFERROR(VLOOKUP(A52,'صورت وضعیت پروژه'!$B$9:$G$48,2,0),"؟ آیتم پیدا نشد"))</f>
        <v/>
      </c>
      <c r="E52" s="11" t="n"/>
      <c r="F52" s="14">
        <f>IF(A52="","",IFERROR(VLOOKUP(A52,'صورت وضعیت پروژه'!$B$9:$G$48,6,0),""))</f>
        <v/>
      </c>
      <c r="G52" s="14">
        <f>IF(OR(E52="",F52=""),"",E52*F52)</f>
        <v/>
      </c>
      <c r="H52" s="3" t="n"/>
    </row>
    <row r="53">
      <c r="A53" s="11" t="n"/>
      <c r="B53" s="11" t="n"/>
      <c r="C53" s="11" t="n"/>
      <c r="D53" s="22">
        <f>IF(A53="","",IFERROR(VLOOKUP(A53,'صورت وضعیت پروژه'!$B$9:$G$48,2,0),"؟ آیتم پیدا نشد"))</f>
        <v/>
      </c>
      <c r="E53" s="11" t="n"/>
      <c r="F53" s="14">
        <f>IF(A53="","",IFERROR(VLOOKUP(A53,'صورت وضعیت پروژه'!$B$9:$G$48,6,0),""))</f>
        <v/>
      </c>
      <c r="G53" s="14">
        <f>IF(OR(E53="",F53=""),"",E53*F53)</f>
        <v/>
      </c>
      <c r="H53" s="3" t="n"/>
    </row>
    <row r="54">
      <c r="A54" s="11" t="n"/>
      <c r="B54" s="11" t="n"/>
      <c r="C54" s="11" t="n"/>
      <c r="D54" s="22">
        <f>IF(A54="","",IFERROR(VLOOKUP(A54,'صورت وضعیت پروژه'!$B$9:$G$48,2,0),"؟ آیتم پیدا نشد"))</f>
        <v/>
      </c>
      <c r="E54" s="11" t="n"/>
      <c r="F54" s="14">
        <f>IF(A54="","",IFERROR(VLOOKUP(A54,'صورت وضعیت پروژه'!$B$9:$G$48,6,0),""))</f>
        <v/>
      </c>
      <c r="G54" s="14">
        <f>IF(OR(E54="",F54=""),"",E54*F54)</f>
        <v/>
      </c>
      <c r="H54" s="3" t="n"/>
    </row>
    <row r="55">
      <c r="A55" s="11" t="n"/>
      <c r="B55" s="11" t="n"/>
      <c r="C55" s="11" t="n"/>
      <c r="D55" s="22">
        <f>IF(A55="","",IFERROR(VLOOKUP(A55,'صورت وضعیت پروژه'!$B$9:$G$48,2,0),"؟ آیتم پیدا نشد"))</f>
        <v/>
      </c>
      <c r="E55" s="11" t="n"/>
      <c r="F55" s="14">
        <f>IF(A55="","",IFERROR(VLOOKUP(A55,'صورت وضعیت پروژه'!$B$9:$G$48,6,0),""))</f>
        <v/>
      </c>
      <c r="G55" s="14">
        <f>IF(OR(E55="",F55=""),"",E55*F55)</f>
        <v/>
      </c>
      <c r="H55" s="3" t="n"/>
    </row>
    <row r="56">
      <c r="A56" s="11" t="n"/>
      <c r="B56" s="11" t="n"/>
      <c r="C56" s="11" t="n"/>
      <c r="D56" s="22">
        <f>IF(A56="","",IFERROR(VLOOKUP(A56,'صورت وضعیت پروژه'!$B$9:$G$48,2,0),"؟ آیتم پیدا نشد"))</f>
        <v/>
      </c>
      <c r="E56" s="11" t="n"/>
      <c r="F56" s="14">
        <f>IF(A56="","",IFERROR(VLOOKUP(A56,'صورت وضعیت پروژه'!$B$9:$G$48,6,0),""))</f>
        <v/>
      </c>
      <c r="G56" s="14">
        <f>IF(OR(E56="",F56=""),"",E56*F56)</f>
        <v/>
      </c>
      <c r="H56" s="3" t="n"/>
    </row>
    <row r="57">
      <c r="A57" s="11" t="n"/>
      <c r="B57" s="11" t="n"/>
      <c r="C57" s="11" t="n"/>
      <c r="D57" s="22">
        <f>IF(A57="","",IFERROR(VLOOKUP(A57,'صورت وضعیت پروژه'!$B$9:$G$48,2,0),"؟ آیتم پیدا نشد"))</f>
        <v/>
      </c>
      <c r="E57" s="11" t="n"/>
      <c r="F57" s="14">
        <f>IF(A57="","",IFERROR(VLOOKUP(A57,'صورت وضعیت پروژه'!$B$9:$G$48,6,0),""))</f>
        <v/>
      </c>
      <c r="G57" s="14">
        <f>IF(OR(E57="",F57=""),"",E57*F57)</f>
        <v/>
      </c>
      <c r="H57" s="3" t="n"/>
    </row>
    <row r="58">
      <c r="A58" s="11" t="n"/>
      <c r="B58" s="11" t="n"/>
      <c r="C58" s="11" t="n"/>
      <c r="D58" s="22">
        <f>IF(A58="","",IFERROR(VLOOKUP(A58,'صورت وضعیت پروژه'!$B$9:$G$48,2,0),"؟ آیتم پیدا نشد"))</f>
        <v/>
      </c>
      <c r="E58" s="11" t="n"/>
      <c r="F58" s="14">
        <f>IF(A58="","",IFERROR(VLOOKUP(A58,'صورت وضعیت پروژه'!$B$9:$G$48,6,0),""))</f>
        <v/>
      </c>
      <c r="G58" s="14">
        <f>IF(OR(E58="",F58=""),"",E58*F58)</f>
        <v/>
      </c>
      <c r="H58" s="3" t="n"/>
    </row>
    <row r="59">
      <c r="A59" s="11" t="n"/>
      <c r="B59" s="11" t="n"/>
      <c r="C59" s="11" t="n"/>
      <c r="D59" s="22">
        <f>IF(A59="","",IFERROR(VLOOKUP(A59,'صورت وضعیت پروژه'!$B$9:$G$48,2,0),"؟ آیتم پیدا نشد"))</f>
        <v/>
      </c>
      <c r="E59" s="11" t="n"/>
      <c r="F59" s="14">
        <f>IF(A59="","",IFERROR(VLOOKUP(A59,'صورت وضعیت پروژه'!$B$9:$G$48,6,0),""))</f>
        <v/>
      </c>
      <c r="G59" s="14">
        <f>IF(OR(E59="",F59=""),"",E59*F59)</f>
        <v/>
      </c>
      <c r="H59" s="3" t="n"/>
    </row>
    <row r="60">
      <c r="A60" s="11" t="n"/>
      <c r="B60" s="11" t="n"/>
      <c r="C60" s="11" t="n"/>
      <c r="D60" s="22">
        <f>IF(A60="","",IFERROR(VLOOKUP(A60,'صورت وضعیت پروژه'!$B$9:$G$48,2,0),"؟ آیتم پیدا نشد"))</f>
        <v/>
      </c>
      <c r="E60" s="11" t="n"/>
      <c r="F60" s="14">
        <f>IF(A60="","",IFERROR(VLOOKUP(A60,'صورت وضعیت پروژه'!$B$9:$G$48,6,0),""))</f>
        <v/>
      </c>
      <c r="G60" s="14">
        <f>IF(OR(E60="",F60=""),"",E60*F60)</f>
        <v/>
      </c>
      <c r="H60" s="3" t="n"/>
    </row>
    <row r="61">
      <c r="A61" s="11" t="n"/>
      <c r="B61" s="11" t="n"/>
      <c r="C61" s="11" t="n"/>
      <c r="D61" s="22">
        <f>IF(A61="","",IFERROR(VLOOKUP(A61,'صورت وضعیت پروژه'!$B$9:$G$48,2,0),"؟ آیتم پیدا نشد"))</f>
        <v/>
      </c>
      <c r="E61" s="11" t="n"/>
      <c r="F61" s="14">
        <f>IF(A61="","",IFERROR(VLOOKUP(A61,'صورت وضعیت پروژه'!$B$9:$G$48,6,0),""))</f>
        <v/>
      </c>
      <c r="G61" s="14">
        <f>IF(OR(E61="",F61=""),"",E61*F61)</f>
        <v/>
      </c>
      <c r="H61" s="3" t="n"/>
    </row>
    <row r="62">
      <c r="A62" s="11" t="n"/>
      <c r="B62" s="11" t="n"/>
      <c r="C62" s="11" t="n"/>
      <c r="D62" s="22">
        <f>IF(A62="","",IFERROR(VLOOKUP(A62,'صورت وضعیت پروژه'!$B$9:$G$48,2,0),"؟ آیتم پیدا نشد"))</f>
        <v/>
      </c>
      <c r="E62" s="11" t="n"/>
      <c r="F62" s="14">
        <f>IF(A62="","",IFERROR(VLOOKUP(A62,'صورت وضعیت پروژه'!$B$9:$G$48,6,0),""))</f>
        <v/>
      </c>
      <c r="G62" s="14">
        <f>IF(OR(E62="",F62=""),"",E62*F62)</f>
        <v/>
      </c>
      <c r="H62" s="3" t="n"/>
    </row>
    <row r="63">
      <c r="A63" s="11" t="n"/>
      <c r="B63" s="11" t="n"/>
      <c r="C63" s="11" t="n"/>
      <c r="D63" s="22">
        <f>IF(A63="","",IFERROR(VLOOKUP(A63,'صورت وضعیت پروژه'!$B$9:$G$48,2,0),"؟ آیتم پیدا نشد"))</f>
        <v/>
      </c>
      <c r="E63" s="11" t="n"/>
      <c r="F63" s="14">
        <f>IF(A63="","",IFERROR(VLOOKUP(A63,'صورت وضعیت پروژه'!$B$9:$G$48,6,0),""))</f>
        <v/>
      </c>
      <c r="G63" s="14">
        <f>IF(OR(E63="",F63=""),"",E63*F63)</f>
        <v/>
      </c>
      <c r="H63" s="3" t="n"/>
    </row>
    <row r="64">
      <c r="A64" s="11" t="n"/>
      <c r="B64" s="11" t="n"/>
      <c r="C64" s="11" t="n"/>
      <c r="D64" s="22">
        <f>IF(A64="","",IFERROR(VLOOKUP(A64,'صورت وضعیت پروژه'!$B$9:$G$48,2,0),"؟ آیتم پیدا نشد"))</f>
        <v/>
      </c>
      <c r="E64" s="11" t="n"/>
      <c r="F64" s="14">
        <f>IF(A64="","",IFERROR(VLOOKUP(A64,'صورت وضعیت پروژه'!$B$9:$G$48,6,0),""))</f>
        <v/>
      </c>
      <c r="G64" s="14">
        <f>IF(OR(E64="",F64=""),"",E64*F64)</f>
        <v/>
      </c>
      <c r="H64" s="3" t="n"/>
    </row>
    <row r="65">
      <c r="A65" s="11" t="n"/>
      <c r="B65" s="11" t="n"/>
      <c r="C65" s="11" t="n"/>
      <c r="D65" s="22">
        <f>IF(A65="","",IFERROR(VLOOKUP(A65,'صورت وضعیت پروژه'!$B$9:$G$48,2,0),"؟ آیتم پیدا نشد"))</f>
        <v/>
      </c>
      <c r="E65" s="11" t="n"/>
      <c r="F65" s="14">
        <f>IF(A65="","",IFERROR(VLOOKUP(A65,'صورت وضعیت پروژه'!$B$9:$G$48,6,0),""))</f>
        <v/>
      </c>
      <c r="G65" s="14">
        <f>IF(OR(E65="",F65=""),"",E65*F65)</f>
        <v/>
      </c>
      <c r="H65" s="3" t="n"/>
    </row>
    <row r="66">
      <c r="A66" s="11" t="n"/>
      <c r="B66" s="11" t="n"/>
      <c r="C66" s="11" t="n"/>
      <c r="D66" s="22">
        <f>IF(A66="","",IFERROR(VLOOKUP(A66,'صورت وضعیت پروژه'!$B$9:$G$48,2,0),"؟ آیتم پیدا نشد"))</f>
        <v/>
      </c>
      <c r="E66" s="11" t="n"/>
      <c r="F66" s="14">
        <f>IF(A66="","",IFERROR(VLOOKUP(A66,'صورت وضعیت پروژه'!$B$9:$G$48,6,0),""))</f>
        <v/>
      </c>
      <c r="G66" s="14">
        <f>IF(OR(E66="",F66=""),"",E66*F66)</f>
        <v/>
      </c>
      <c r="H66" s="3" t="n"/>
    </row>
    <row r="67">
      <c r="A67" s="11" t="n"/>
      <c r="B67" s="11" t="n"/>
      <c r="C67" s="11" t="n"/>
      <c r="D67" s="22">
        <f>IF(A67="","",IFERROR(VLOOKUP(A67,'صورت وضعیت پروژه'!$B$9:$G$48,2,0),"؟ آیتم پیدا نشد"))</f>
        <v/>
      </c>
      <c r="E67" s="11" t="n"/>
      <c r="F67" s="14">
        <f>IF(A67="","",IFERROR(VLOOKUP(A67,'صورت وضعیت پروژه'!$B$9:$G$48,6,0),""))</f>
        <v/>
      </c>
      <c r="G67" s="14">
        <f>IF(OR(E67="",F67=""),"",E67*F67)</f>
        <v/>
      </c>
      <c r="H67" s="3" t="n"/>
    </row>
    <row r="68">
      <c r="A68" s="11" t="n"/>
      <c r="B68" s="11" t="n"/>
      <c r="C68" s="11" t="n"/>
      <c r="D68" s="22">
        <f>IF(A68="","",IFERROR(VLOOKUP(A68,'صورت وضعیت پروژه'!$B$9:$G$48,2,0),"؟ آیتم پیدا نشد"))</f>
        <v/>
      </c>
      <c r="E68" s="11" t="n"/>
      <c r="F68" s="14">
        <f>IF(A68="","",IFERROR(VLOOKUP(A68,'صورت وضعیت پروژه'!$B$9:$G$48,6,0),""))</f>
        <v/>
      </c>
      <c r="G68" s="14">
        <f>IF(OR(E68="",F68=""),"",E68*F68)</f>
        <v/>
      </c>
      <c r="H68" s="3" t="n"/>
    </row>
    <row r="69">
      <c r="A69" s="11" t="n"/>
      <c r="B69" s="11" t="n"/>
      <c r="C69" s="11" t="n"/>
      <c r="D69" s="22">
        <f>IF(A69="","",IFERROR(VLOOKUP(A69,'صورت وضعیت پروژه'!$B$9:$G$48,2,0),"؟ آیتم پیدا نشد"))</f>
        <v/>
      </c>
      <c r="E69" s="11" t="n"/>
      <c r="F69" s="14">
        <f>IF(A69="","",IFERROR(VLOOKUP(A69,'صورت وضعیت پروژه'!$B$9:$G$48,6,0),""))</f>
        <v/>
      </c>
      <c r="G69" s="14">
        <f>IF(OR(E69="",F69=""),"",E69*F69)</f>
        <v/>
      </c>
      <c r="H69" s="3" t="n"/>
    </row>
    <row r="70">
      <c r="A70" s="11" t="n"/>
      <c r="B70" s="11" t="n"/>
      <c r="C70" s="11" t="n"/>
      <c r="D70" s="22">
        <f>IF(A70="","",IFERROR(VLOOKUP(A70,'صورت وضعیت پروژه'!$B$9:$G$48,2,0),"؟ آیتم پیدا نشد"))</f>
        <v/>
      </c>
      <c r="E70" s="11" t="n"/>
      <c r="F70" s="14">
        <f>IF(A70="","",IFERROR(VLOOKUP(A70,'صورت وضعیت پروژه'!$B$9:$G$48,6,0),""))</f>
        <v/>
      </c>
      <c r="G70" s="14">
        <f>IF(OR(E70="",F70=""),"",E70*F70)</f>
        <v/>
      </c>
      <c r="H70" s="3" t="n"/>
    </row>
    <row r="71">
      <c r="A71" s="11" t="n"/>
      <c r="B71" s="11" t="n"/>
      <c r="C71" s="11" t="n"/>
      <c r="D71" s="22">
        <f>IF(A71="","",IFERROR(VLOOKUP(A71,'صورت وضعیت پروژه'!$B$9:$G$48,2,0),"؟ آیتم پیدا نشد"))</f>
        <v/>
      </c>
      <c r="E71" s="11" t="n"/>
      <c r="F71" s="14">
        <f>IF(A71="","",IFERROR(VLOOKUP(A71,'صورت وضعیت پروژه'!$B$9:$G$48,6,0),""))</f>
        <v/>
      </c>
      <c r="G71" s="14">
        <f>IF(OR(E71="",F71=""),"",E71*F71)</f>
        <v/>
      </c>
      <c r="H71" s="3" t="n"/>
    </row>
    <row r="72">
      <c r="A72" s="11" t="n"/>
      <c r="B72" s="11" t="n"/>
      <c r="C72" s="11" t="n"/>
      <c r="D72" s="22">
        <f>IF(A72="","",IFERROR(VLOOKUP(A72,'صورت وضعیت پروژه'!$B$9:$G$48,2,0),"؟ آیتم پیدا نشد"))</f>
        <v/>
      </c>
      <c r="E72" s="11" t="n"/>
      <c r="F72" s="14">
        <f>IF(A72="","",IFERROR(VLOOKUP(A72,'صورت وضعیت پروژه'!$B$9:$G$48,6,0),""))</f>
        <v/>
      </c>
      <c r="G72" s="14">
        <f>IF(OR(E72="",F72=""),"",E72*F72)</f>
        <v/>
      </c>
      <c r="H72" s="3" t="n"/>
    </row>
    <row r="73">
      <c r="A73" s="11" t="n"/>
      <c r="B73" s="11" t="n"/>
      <c r="C73" s="11" t="n"/>
      <c r="D73" s="22">
        <f>IF(A73="","",IFERROR(VLOOKUP(A73,'صورت وضعیت پروژه'!$B$9:$G$48,2,0),"؟ آیتم پیدا نشد"))</f>
        <v/>
      </c>
      <c r="E73" s="11" t="n"/>
      <c r="F73" s="14">
        <f>IF(A73="","",IFERROR(VLOOKUP(A73,'صورت وضعیت پروژه'!$B$9:$G$48,6,0),""))</f>
        <v/>
      </c>
      <c r="G73" s="14">
        <f>IF(OR(E73="",F73=""),"",E73*F73)</f>
        <v/>
      </c>
      <c r="H73" s="3" t="n"/>
    </row>
    <row r="74">
      <c r="A74" s="11" t="n"/>
      <c r="B74" s="11" t="n"/>
      <c r="C74" s="11" t="n"/>
      <c r="D74" s="22">
        <f>IF(A74="","",IFERROR(VLOOKUP(A74,'صورت وضعیت پروژه'!$B$9:$G$48,2,0),"؟ آیتم پیدا نشد"))</f>
        <v/>
      </c>
      <c r="E74" s="11" t="n"/>
      <c r="F74" s="14">
        <f>IF(A74="","",IFERROR(VLOOKUP(A74,'صورت وضعیت پروژه'!$B$9:$G$48,6,0),""))</f>
        <v/>
      </c>
      <c r="G74" s="14">
        <f>IF(OR(E74="",F74=""),"",E74*F74)</f>
        <v/>
      </c>
      <c r="H74" s="3" t="n"/>
    </row>
    <row r="75">
      <c r="A75" s="11" t="n"/>
      <c r="B75" s="11" t="n"/>
      <c r="C75" s="11" t="n"/>
      <c r="D75" s="22">
        <f>IF(A75="","",IFERROR(VLOOKUP(A75,'صورت وضعیت پروژه'!$B$9:$G$48,2,0),"؟ آیتم پیدا نشد"))</f>
        <v/>
      </c>
      <c r="E75" s="11" t="n"/>
      <c r="F75" s="14">
        <f>IF(A75="","",IFERROR(VLOOKUP(A75,'صورت وضعیت پروژه'!$B$9:$G$48,6,0),""))</f>
        <v/>
      </c>
      <c r="G75" s="14">
        <f>IF(OR(E75="",F75=""),"",E75*F75)</f>
        <v/>
      </c>
      <c r="H75" s="3" t="n"/>
    </row>
    <row r="76">
      <c r="A76" s="11" t="n"/>
      <c r="B76" s="11" t="n"/>
      <c r="C76" s="11" t="n"/>
      <c r="D76" s="22">
        <f>IF(A76="","",IFERROR(VLOOKUP(A76,'صورت وضعیت پروژه'!$B$9:$G$48,2,0),"؟ آیتم پیدا نشد"))</f>
        <v/>
      </c>
      <c r="E76" s="11" t="n"/>
      <c r="F76" s="14">
        <f>IF(A76="","",IFERROR(VLOOKUP(A76,'صورت وضعیت پروژه'!$B$9:$G$48,6,0),""))</f>
        <v/>
      </c>
      <c r="G76" s="14">
        <f>IF(OR(E76="",F76=""),"",E76*F76)</f>
        <v/>
      </c>
      <c r="H76" s="3" t="n"/>
    </row>
    <row r="77">
      <c r="A77" s="11" t="n"/>
      <c r="B77" s="11" t="n"/>
      <c r="C77" s="11" t="n"/>
      <c r="D77" s="22">
        <f>IF(A77="","",IFERROR(VLOOKUP(A77,'صورت وضعیت پروژه'!$B$9:$G$48,2,0),"؟ آیتم پیدا نشد"))</f>
        <v/>
      </c>
      <c r="E77" s="11" t="n"/>
      <c r="F77" s="14">
        <f>IF(A77="","",IFERROR(VLOOKUP(A77,'صورت وضعیت پروژه'!$B$9:$G$48,6,0),""))</f>
        <v/>
      </c>
      <c r="G77" s="14">
        <f>IF(OR(E77="",F77=""),"",E77*F77)</f>
        <v/>
      </c>
      <c r="H77" s="3" t="n"/>
    </row>
    <row r="78">
      <c r="A78" s="11" t="n"/>
      <c r="B78" s="11" t="n"/>
      <c r="C78" s="11" t="n"/>
      <c r="D78" s="22">
        <f>IF(A78="","",IFERROR(VLOOKUP(A78,'صورت وضعیت پروژه'!$B$9:$G$48,2,0),"؟ آیتم پیدا نشد"))</f>
        <v/>
      </c>
      <c r="E78" s="11" t="n"/>
      <c r="F78" s="14">
        <f>IF(A78="","",IFERROR(VLOOKUP(A78,'صورت وضعیت پروژه'!$B$9:$G$48,6,0),""))</f>
        <v/>
      </c>
      <c r="G78" s="14">
        <f>IF(OR(E78="",F78=""),"",E78*F78)</f>
        <v/>
      </c>
      <c r="H78" s="3" t="n"/>
    </row>
    <row r="79">
      <c r="A79" s="11" t="n"/>
      <c r="B79" s="11" t="n"/>
      <c r="C79" s="11" t="n"/>
      <c r="D79" s="22">
        <f>IF(A79="","",IFERROR(VLOOKUP(A79,'صورت وضعیت پروژه'!$B$9:$G$48,2,0),"؟ آیتم پیدا نشد"))</f>
        <v/>
      </c>
      <c r="E79" s="11" t="n"/>
      <c r="F79" s="14">
        <f>IF(A79="","",IFERROR(VLOOKUP(A79,'صورت وضعیت پروژه'!$B$9:$G$48,6,0),""))</f>
        <v/>
      </c>
      <c r="G79" s="14">
        <f>IF(OR(E79="",F79=""),"",E79*F79)</f>
        <v/>
      </c>
      <c r="H79" s="3" t="n"/>
    </row>
    <row r="80">
      <c r="A80" s="11" t="n"/>
      <c r="B80" s="11" t="n"/>
      <c r="C80" s="11" t="n"/>
      <c r="D80" s="22">
        <f>IF(A80="","",IFERROR(VLOOKUP(A80,'صورت وضعیت پروژه'!$B$9:$G$48,2,0),"؟ آیتم پیدا نشد"))</f>
        <v/>
      </c>
      <c r="E80" s="11" t="n"/>
      <c r="F80" s="14">
        <f>IF(A80="","",IFERROR(VLOOKUP(A80,'صورت وضعیت پروژه'!$B$9:$G$48,6,0),""))</f>
        <v/>
      </c>
      <c r="G80" s="14">
        <f>IF(OR(E80="",F80=""),"",E80*F80)</f>
        <v/>
      </c>
      <c r="H80" s="3" t="n"/>
    </row>
    <row r="81">
      <c r="A81" s="11" t="n"/>
      <c r="B81" s="11" t="n"/>
      <c r="C81" s="11" t="n"/>
      <c r="D81" s="22">
        <f>IF(A81="","",IFERROR(VLOOKUP(A81,'صورت وضعیت پروژه'!$B$9:$G$48,2,0),"؟ آیتم پیدا نشد"))</f>
        <v/>
      </c>
      <c r="E81" s="11" t="n"/>
      <c r="F81" s="14">
        <f>IF(A81="","",IFERROR(VLOOKUP(A81,'صورت وضعیت پروژه'!$B$9:$G$48,6,0),""))</f>
        <v/>
      </c>
      <c r="G81" s="14">
        <f>IF(OR(E81="",F81=""),"",E81*F81)</f>
        <v/>
      </c>
      <c r="H81" s="3" t="n"/>
    </row>
    <row r="82">
      <c r="A82" s="11" t="n"/>
      <c r="B82" s="11" t="n"/>
      <c r="C82" s="11" t="n"/>
      <c r="D82" s="22">
        <f>IF(A82="","",IFERROR(VLOOKUP(A82,'صورت وضعیت پروژه'!$B$9:$G$48,2,0),"؟ آیتم پیدا نشد"))</f>
        <v/>
      </c>
      <c r="E82" s="11" t="n"/>
      <c r="F82" s="14">
        <f>IF(A82="","",IFERROR(VLOOKUP(A82,'صورت وضعیت پروژه'!$B$9:$G$48,6,0),""))</f>
        <v/>
      </c>
      <c r="G82" s="14">
        <f>IF(OR(E82="",F82=""),"",E82*F82)</f>
        <v/>
      </c>
      <c r="H82" s="3" t="n"/>
    </row>
    <row r="83">
      <c r="A83" s="11" t="n"/>
      <c r="B83" s="11" t="n"/>
      <c r="C83" s="11" t="n"/>
      <c r="D83" s="22">
        <f>IF(A83="","",IFERROR(VLOOKUP(A83,'صورت وضعیت پروژه'!$B$9:$G$48,2,0),"؟ آیتم پیدا نشد"))</f>
        <v/>
      </c>
      <c r="E83" s="11" t="n"/>
      <c r="F83" s="14">
        <f>IF(A83="","",IFERROR(VLOOKUP(A83,'صورت وضعیت پروژه'!$B$9:$G$48,6,0),""))</f>
        <v/>
      </c>
      <c r="G83" s="14">
        <f>IF(OR(E83="",F83=""),"",E83*F83)</f>
        <v/>
      </c>
      <c r="H83" s="3" t="n"/>
    </row>
    <row r="84">
      <c r="A84" s="11" t="n"/>
      <c r="B84" s="11" t="n"/>
      <c r="C84" s="11" t="n"/>
      <c r="D84" s="22">
        <f>IF(A84="","",IFERROR(VLOOKUP(A84,'صورت وضعیت پروژه'!$B$9:$G$48,2,0),"؟ آیتم پیدا نشد"))</f>
        <v/>
      </c>
      <c r="E84" s="11" t="n"/>
      <c r="F84" s="14">
        <f>IF(A84="","",IFERROR(VLOOKUP(A84,'صورت وضعیت پروژه'!$B$9:$G$48,6,0),""))</f>
        <v/>
      </c>
      <c r="G84" s="14">
        <f>IF(OR(E84="",F84=""),"",E84*F84)</f>
        <v/>
      </c>
      <c r="H84" s="3" t="n"/>
    </row>
    <row r="85">
      <c r="A85" s="11" t="n"/>
      <c r="B85" s="11" t="n"/>
      <c r="C85" s="11" t="n"/>
      <c r="D85" s="22">
        <f>IF(A85="","",IFERROR(VLOOKUP(A85,'صورت وضعیت پروژه'!$B$9:$G$48,2,0),"؟ آیتم پیدا نشد"))</f>
        <v/>
      </c>
      <c r="E85" s="11" t="n"/>
      <c r="F85" s="14">
        <f>IF(A85="","",IFERROR(VLOOKUP(A85,'صورت وضعیت پروژه'!$B$9:$G$48,6,0),""))</f>
        <v/>
      </c>
      <c r="G85" s="14">
        <f>IF(OR(E85="",F85=""),"",E85*F85)</f>
        <v/>
      </c>
      <c r="H85" s="3" t="n"/>
    </row>
    <row r="86">
      <c r="A86" s="11" t="n"/>
      <c r="B86" s="11" t="n"/>
      <c r="C86" s="11" t="n"/>
      <c r="D86" s="22">
        <f>IF(A86="","",IFERROR(VLOOKUP(A86,'صورت وضعیت پروژه'!$B$9:$G$48,2,0),"؟ آیتم پیدا نشد"))</f>
        <v/>
      </c>
      <c r="E86" s="11" t="n"/>
      <c r="F86" s="14">
        <f>IF(A86="","",IFERROR(VLOOKUP(A86,'صورت وضعیت پروژه'!$B$9:$G$48,6,0),""))</f>
        <v/>
      </c>
      <c r="G86" s="14">
        <f>IF(OR(E86="",F86=""),"",E86*F86)</f>
        <v/>
      </c>
      <c r="H86" s="3" t="n"/>
    </row>
    <row r="87">
      <c r="A87" s="11" t="n"/>
      <c r="B87" s="11" t="n"/>
      <c r="C87" s="11" t="n"/>
      <c r="D87" s="22">
        <f>IF(A87="","",IFERROR(VLOOKUP(A87,'صورت وضعیت پروژه'!$B$9:$G$48,2,0),"؟ آیتم پیدا نشد"))</f>
        <v/>
      </c>
      <c r="E87" s="11" t="n"/>
      <c r="F87" s="14">
        <f>IF(A87="","",IFERROR(VLOOKUP(A87,'صورت وضعیت پروژه'!$B$9:$G$48,6,0),""))</f>
        <v/>
      </c>
      <c r="G87" s="14">
        <f>IF(OR(E87="",F87=""),"",E87*F87)</f>
        <v/>
      </c>
      <c r="H87" s="3" t="n"/>
    </row>
    <row r="88">
      <c r="A88" s="11" t="n"/>
      <c r="B88" s="11" t="n"/>
      <c r="C88" s="11" t="n"/>
      <c r="D88" s="22">
        <f>IF(A88="","",IFERROR(VLOOKUP(A88,'صورت وضعیت پروژه'!$B$9:$G$48,2,0),"؟ آیتم پیدا نشد"))</f>
        <v/>
      </c>
      <c r="E88" s="11" t="n"/>
      <c r="F88" s="14">
        <f>IF(A88="","",IFERROR(VLOOKUP(A88,'صورت وضعیت پروژه'!$B$9:$G$48,6,0),""))</f>
        <v/>
      </c>
      <c r="G88" s="14">
        <f>IF(OR(E88="",F88=""),"",E88*F88)</f>
        <v/>
      </c>
      <c r="H88" s="3" t="n"/>
    </row>
    <row r="89">
      <c r="A89" s="11" t="n"/>
      <c r="B89" s="11" t="n"/>
      <c r="C89" s="11" t="n"/>
      <c r="D89" s="22">
        <f>IF(A89="","",IFERROR(VLOOKUP(A89,'صورت وضعیت پروژه'!$B$9:$G$48,2,0),"؟ آیتم پیدا نشد"))</f>
        <v/>
      </c>
      <c r="E89" s="11" t="n"/>
      <c r="F89" s="14">
        <f>IF(A89="","",IFERROR(VLOOKUP(A89,'صورت وضعیت پروژه'!$B$9:$G$48,6,0),""))</f>
        <v/>
      </c>
      <c r="G89" s="14">
        <f>IF(OR(E89="",F89=""),"",E89*F89)</f>
        <v/>
      </c>
      <c r="H89" s="3" t="n"/>
    </row>
    <row r="90">
      <c r="A90" s="11" t="n"/>
      <c r="B90" s="11" t="n"/>
      <c r="C90" s="11" t="n"/>
      <c r="D90" s="22">
        <f>IF(A90="","",IFERROR(VLOOKUP(A90,'صورت وضعیت پروژه'!$B$9:$G$48,2,0),"؟ آیتم پیدا نشد"))</f>
        <v/>
      </c>
      <c r="E90" s="11" t="n"/>
      <c r="F90" s="14">
        <f>IF(A90="","",IFERROR(VLOOKUP(A90,'صورت وضعیت پروژه'!$B$9:$G$48,6,0),""))</f>
        <v/>
      </c>
      <c r="G90" s="14">
        <f>IF(OR(E90="",F90=""),"",E90*F90)</f>
        <v/>
      </c>
      <c r="H90" s="3" t="n"/>
    </row>
    <row r="91">
      <c r="A91" s="11" t="n"/>
      <c r="B91" s="11" t="n"/>
      <c r="C91" s="11" t="n"/>
      <c r="D91" s="22">
        <f>IF(A91="","",IFERROR(VLOOKUP(A91,'صورت وضعیت پروژه'!$B$9:$G$48,2,0),"؟ آیتم پیدا نشد"))</f>
        <v/>
      </c>
      <c r="E91" s="11" t="n"/>
      <c r="F91" s="14">
        <f>IF(A91="","",IFERROR(VLOOKUP(A91,'صورت وضعیت پروژه'!$B$9:$G$48,6,0),""))</f>
        <v/>
      </c>
      <c r="G91" s="14">
        <f>IF(OR(E91="",F91=""),"",E91*F91)</f>
        <v/>
      </c>
      <c r="H91" s="3" t="n"/>
    </row>
    <row r="92">
      <c r="A92" s="11" t="n"/>
      <c r="B92" s="11" t="n"/>
      <c r="C92" s="11" t="n"/>
      <c r="D92" s="22">
        <f>IF(A92="","",IFERROR(VLOOKUP(A92,'صورت وضعیت پروژه'!$B$9:$G$48,2,0),"؟ آیتم پیدا نشد"))</f>
        <v/>
      </c>
      <c r="E92" s="11" t="n"/>
      <c r="F92" s="14">
        <f>IF(A92="","",IFERROR(VLOOKUP(A92,'صورت وضعیت پروژه'!$B$9:$G$48,6,0),""))</f>
        <v/>
      </c>
      <c r="G92" s="14">
        <f>IF(OR(E92="",F92=""),"",E92*F92)</f>
        <v/>
      </c>
      <c r="H92" s="3" t="n"/>
    </row>
    <row r="93">
      <c r="A93" s="11" t="n"/>
      <c r="B93" s="11" t="n"/>
      <c r="C93" s="11" t="n"/>
      <c r="D93" s="22">
        <f>IF(A93="","",IFERROR(VLOOKUP(A93,'صورت وضعیت پروژه'!$B$9:$G$48,2,0),"؟ آیتم پیدا نشد"))</f>
        <v/>
      </c>
      <c r="E93" s="11" t="n"/>
      <c r="F93" s="14">
        <f>IF(A93="","",IFERROR(VLOOKUP(A93,'صورت وضعیت پروژه'!$B$9:$G$48,6,0),""))</f>
        <v/>
      </c>
      <c r="G93" s="14">
        <f>IF(OR(E93="",F93=""),"",E93*F93)</f>
        <v/>
      </c>
      <c r="H93" s="3" t="n"/>
    </row>
    <row r="94">
      <c r="A94" s="11" t="n"/>
      <c r="B94" s="11" t="n"/>
      <c r="C94" s="11" t="n"/>
      <c r="D94" s="22">
        <f>IF(A94="","",IFERROR(VLOOKUP(A94,'صورت وضعیت پروژه'!$B$9:$G$48,2,0),"؟ آیتم پیدا نشد"))</f>
        <v/>
      </c>
      <c r="E94" s="11" t="n"/>
      <c r="F94" s="14">
        <f>IF(A94="","",IFERROR(VLOOKUP(A94,'صورت وضعیت پروژه'!$B$9:$G$48,6,0),""))</f>
        <v/>
      </c>
      <c r="G94" s="14">
        <f>IF(OR(E94="",F94=""),"",E94*F94)</f>
        <v/>
      </c>
      <c r="H94" s="3" t="n"/>
    </row>
    <row r="95">
      <c r="A95" s="11" t="n"/>
      <c r="B95" s="11" t="n"/>
      <c r="C95" s="11" t="n"/>
      <c r="D95" s="22">
        <f>IF(A95="","",IFERROR(VLOOKUP(A95,'صورت وضعیت پروژه'!$B$9:$G$48,2,0),"؟ آیتم پیدا نشد"))</f>
        <v/>
      </c>
      <c r="E95" s="11" t="n"/>
      <c r="F95" s="14">
        <f>IF(A95="","",IFERROR(VLOOKUP(A95,'صورت وضعیت پروژه'!$B$9:$G$48,6,0),""))</f>
        <v/>
      </c>
      <c r="G95" s="14">
        <f>IF(OR(E95="",F95=""),"",E95*F95)</f>
        <v/>
      </c>
      <c r="H95" s="3" t="n"/>
    </row>
    <row r="96">
      <c r="A96" s="11" t="n"/>
      <c r="B96" s="11" t="n"/>
      <c r="C96" s="11" t="n"/>
      <c r="D96" s="22">
        <f>IF(A96="","",IFERROR(VLOOKUP(A96,'صورت وضعیت پروژه'!$B$9:$G$48,2,0),"؟ آیتم پیدا نشد"))</f>
        <v/>
      </c>
      <c r="E96" s="11" t="n"/>
      <c r="F96" s="14">
        <f>IF(A96="","",IFERROR(VLOOKUP(A96,'صورت وضعیت پروژه'!$B$9:$G$48,6,0),""))</f>
        <v/>
      </c>
      <c r="G96" s="14">
        <f>IF(OR(E96="",F96=""),"",E96*F96)</f>
        <v/>
      </c>
      <c r="H96" s="3" t="n"/>
    </row>
    <row r="97">
      <c r="A97" s="11" t="n"/>
      <c r="B97" s="11" t="n"/>
      <c r="C97" s="11" t="n"/>
      <c r="D97" s="22">
        <f>IF(A97="","",IFERROR(VLOOKUP(A97,'صورت وضعیت پروژه'!$B$9:$G$48,2,0),"؟ آیتم پیدا نشد"))</f>
        <v/>
      </c>
      <c r="E97" s="11" t="n"/>
      <c r="F97" s="14">
        <f>IF(A97="","",IFERROR(VLOOKUP(A97,'صورت وضعیت پروژه'!$B$9:$G$48,6,0),""))</f>
        <v/>
      </c>
      <c r="G97" s="14">
        <f>IF(OR(E97="",F97=""),"",E97*F97)</f>
        <v/>
      </c>
      <c r="H97" s="3" t="n"/>
    </row>
    <row r="98">
      <c r="A98" s="11" t="n"/>
      <c r="B98" s="11" t="n"/>
      <c r="C98" s="11" t="n"/>
      <c r="D98" s="22">
        <f>IF(A98="","",IFERROR(VLOOKUP(A98,'صورت وضعیت پروژه'!$B$9:$G$48,2,0),"؟ آیتم پیدا نشد"))</f>
        <v/>
      </c>
      <c r="E98" s="11" t="n"/>
      <c r="F98" s="14">
        <f>IF(A98="","",IFERROR(VLOOKUP(A98,'صورت وضعیت پروژه'!$B$9:$G$48,6,0),""))</f>
        <v/>
      </c>
      <c r="G98" s="14">
        <f>IF(OR(E98="",F98=""),"",E98*F98)</f>
        <v/>
      </c>
      <c r="H98" s="3" t="n"/>
    </row>
    <row r="99">
      <c r="A99" s="11" t="n"/>
      <c r="B99" s="11" t="n"/>
      <c r="C99" s="11" t="n"/>
      <c r="D99" s="22">
        <f>IF(A99="","",IFERROR(VLOOKUP(A99,'صورت وضعیت پروژه'!$B$9:$G$48,2,0),"؟ آیتم پیدا نشد"))</f>
        <v/>
      </c>
      <c r="E99" s="11" t="n"/>
      <c r="F99" s="14">
        <f>IF(A99="","",IFERROR(VLOOKUP(A99,'صورت وضعیت پروژه'!$B$9:$G$48,6,0),""))</f>
        <v/>
      </c>
      <c r="G99" s="14">
        <f>IF(OR(E99="",F99=""),"",E99*F99)</f>
        <v/>
      </c>
      <c r="H99" s="3" t="n"/>
    </row>
    <row r="100">
      <c r="A100" s="11" t="n"/>
      <c r="B100" s="11" t="n"/>
      <c r="C100" s="11" t="n"/>
      <c r="D100" s="22">
        <f>IF(A100="","",IFERROR(VLOOKUP(A100,'صورت وضعیت پروژه'!$B$9:$G$48,2,0),"؟ آیتم پیدا نشد"))</f>
        <v/>
      </c>
      <c r="E100" s="11" t="n"/>
      <c r="F100" s="14">
        <f>IF(A100="","",IFERROR(VLOOKUP(A100,'صورت وضعیت پروژه'!$B$9:$G$48,6,0),""))</f>
        <v/>
      </c>
      <c r="G100" s="14">
        <f>IF(OR(E100="",F100=""),"",E100*F100)</f>
        <v/>
      </c>
      <c r="H100" s="3" t="n"/>
    </row>
    <row r="101">
      <c r="A101" s="11" t="n"/>
      <c r="B101" s="11" t="n"/>
      <c r="C101" s="11" t="n"/>
      <c r="D101" s="22">
        <f>IF(A101="","",IFERROR(VLOOKUP(A101,'صورت وضعیت پروژه'!$B$9:$G$48,2,0),"؟ آیتم پیدا نشد"))</f>
        <v/>
      </c>
      <c r="E101" s="11" t="n"/>
      <c r="F101" s="14">
        <f>IF(A101="","",IFERROR(VLOOKUP(A101,'صورت وضعیت پروژه'!$B$9:$G$48,6,0),""))</f>
        <v/>
      </c>
      <c r="G101" s="14">
        <f>IF(OR(E101="",F101=""),"",E101*F101)</f>
        <v/>
      </c>
      <c r="H101" s="3" t="n"/>
    </row>
    <row r="102">
      <c r="A102" s="11" t="n"/>
      <c r="B102" s="11" t="n"/>
      <c r="C102" s="11" t="n"/>
      <c r="D102" s="22">
        <f>IF(A102="","",IFERROR(VLOOKUP(A102,'صورت وضعیت پروژه'!$B$9:$G$48,2,0),"؟ آیتم پیدا نشد"))</f>
        <v/>
      </c>
      <c r="E102" s="11" t="n"/>
      <c r="F102" s="14">
        <f>IF(A102="","",IFERROR(VLOOKUP(A102,'صورت وضعیت پروژه'!$B$9:$G$48,6,0),""))</f>
        <v/>
      </c>
      <c r="G102" s="14">
        <f>IF(OR(E102="",F102=""),"",E102*F102)</f>
        <v/>
      </c>
      <c r="H102" s="3" t="n"/>
    </row>
    <row r="103">
      <c r="A103" s="11" t="n"/>
      <c r="B103" s="11" t="n"/>
      <c r="C103" s="11" t="n"/>
      <c r="D103" s="22">
        <f>IF(A103="","",IFERROR(VLOOKUP(A103,'صورت وضعیت پروژه'!$B$9:$G$48,2,0),"؟ آیتم پیدا نشد"))</f>
        <v/>
      </c>
      <c r="E103" s="11" t="n"/>
      <c r="F103" s="14">
        <f>IF(A103="","",IFERROR(VLOOKUP(A103,'صورت وضعیت پروژه'!$B$9:$G$48,6,0),""))</f>
        <v/>
      </c>
      <c r="G103" s="14">
        <f>IF(OR(E103="",F103=""),"",E103*F103)</f>
        <v/>
      </c>
      <c r="H103" s="3" t="n"/>
    </row>
    <row r="104">
      <c r="A104" s="11" t="n"/>
      <c r="B104" s="11" t="n"/>
      <c r="C104" s="11" t="n"/>
      <c r="D104" s="22">
        <f>IF(A104="","",IFERROR(VLOOKUP(A104,'صورت وضعیت پروژه'!$B$9:$G$48,2,0),"؟ آیتم پیدا نشد"))</f>
        <v/>
      </c>
      <c r="E104" s="11" t="n"/>
      <c r="F104" s="14">
        <f>IF(A104="","",IFERROR(VLOOKUP(A104,'صورت وضعیت پروژه'!$B$9:$G$48,6,0),""))</f>
        <v/>
      </c>
      <c r="G104" s="14">
        <f>IF(OR(E104="",F104=""),"",E104*F104)</f>
        <v/>
      </c>
      <c r="H104" s="3" t="n"/>
    </row>
    <row r="105">
      <c r="A105" s="11" t="n"/>
      <c r="B105" s="11" t="n"/>
      <c r="C105" s="11" t="n"/>
      <c r="D105" s="22">
        <f>IF(A105="","",IFERROR(VLOOKUP(A105,'صورت وضعیت پروژه'!$B$9:$G$48,2,0),"؟ آیتم پیدا نشد"))</f>
        <v/>
      </c>
      <c r="E105" s="11" t="n"/>
      <c r="F105" s="14">
        <f>IF(A105="","",IFERROR(VLOOKUP(A105,'صورت وضعیت پروژه'!$B$9:$G$48,6,0),""))</f>
        <v/>
      </c>
      <c r="G105" s="14">
        <f>IF(OR(E105="",F105=""),"",E105*F105)</f>
        <v/>
      </c>
      <c r="H105" s="3" t="n"/>
    </row>
    <row r="106">
      <c r="A106" s="11" t="n"/>
      <c r="B106" s="11" t="n"/>
      <c r="C106" s="11" t="n"/>
      <c r="D106" s="22">
        <f>IF(A106="","",IFERROR(VLOOKUP(A106,'صورت وضعیت پروژه'!$B$9:$G$48,2,0),"؟ آیتم پیدا نشد"))</f>
        <v/>
      </c>
      <c r="E106" s="11" t="n"/>
      <c r="F106" s="14">
        <f>IF(A106="","",IFERROR(VLOOKUP(A106,'صورت وضعیت پروژه'!$B$9:$G$48,6,0),""))</f>
        <v/>
      </c>
      <c r="G106" s="14">
        <f>IF(OR(E106="",F106=""),"",E106*F106)</f>
        <v/>
      </c>
      <c r="H106" s="3" t="n"/>
    </row>
    <row r="107">
      <c r="A107" s="11" t="n"/>
      <c r="B107" s="11" t="n"/>
      <c r="C107" s="11" t="n"/>
      <c r="D107" s="22">
        <f>IF(A107="","",IFERROR(VLOOKUP(A107,'صورت وضعیت پروژه'!$B$9:$G$48,2,0),"؟ آیتم پیدا نشد"))</f>
        <v/>
      </c>
      <c r="E107" s="11" t="n"/>
      <c r="F107" s="14">
        <f>IF(A107="","",IFERROR(VLOOKUP(A107,'صورت وضعیت پروژه'!$B$9:$G$48,6,0),""))</f>
        <v/>
      </c>
      <c r="G107" s="14">
        <f>IF(OR(E107="",F107=""),"",E107*F107)</f>
        <v/>
      </c>
      <c r="H107" s="3" t="n"/>
    </row>
    <row r="108">
      <c r="A108" s="11" t="n"/>
      <c r="B108" s="11" t="n"/>
      <c r="C108" s="11" t="n"/>
      <c r="D108" s="22">
        <f>IF(A108="","",IFERROR(VLOOKUP(A108,'صورت وضعیت پروژه'!$B$9:$G$48,2,0),"؟ آیتم پیدا نشد"))</f>
        <v/>
      </c>
      <c r="E108" s="11" t="n"/>
      <c r="F108" s="14">
        <f>IF(A108="","",IFERROR(VLOOKUP(A108,'صورت وضعیت پروژه'!$B$9:$G$48,6,0),""))</f>
        <v/>
      </c>
      <c r="G108" s="14">
        <f>IF(OR(E108="",F108=""),"",E108*F108)</f>
        <v/>
      </c>
      <c r="H108" s="3" t="n"/>
    </row>
    <row r="109">
      <c r="A109" s="11" t="n"/>
      <c r="B109" s="11" t="n"/>
      <c r="C109" s="11" t="n"/>
      <c r="D109" s="22">
        <f>IF(A109="","",IFERROR(VLOOKUP(A109,'صورت وضعیت پروژه'!$B$9:$G$48,2,0),"؟ آیتم پیدا نشد"))</f>
        <v/>
      </c>
      <c r="E109" s="11" t="n"/>
      <c r="F109" s="14">
        <f>IF(A109="","",IFERROR(VLOOKUP(A109,'صورت وضعیت پروژه'!$B$9:$G$48,6,0),""))</f>
        <v/>
      </c>
      <c r="G109" s="14">
        <f>IF(OR(E109="",F109=""),"",E109*F109)</f>
        <v/>
      </c>
      <c r="H109" s="3" t="n"/>
    </row>
    <row r="110">
      <c r="A110" s="11" t="n"/>
      <c r="B110" s="11" t="n"/>
      <c r="C110" s="11" t="n"/>
      <c r="D110" s="22">
        <f>IF(A110="","",IFERROR(VLOOKUP(A110,'صورت وضعیت پروژه'!$B$9:$G$48,2,0),"؟ آیتم پیدا نشد"))</f>
        <v/>
      </c>
      <c r="E110" s="11" t="n"/>
      <c r="F110" s="14">
        <f>IF(A110="","",IFERROR(VLOOKUP(A110,'صورت وضعیت پروژه'!$B$9:$G$48,6,0),""))</f>
        <v/>
      </c>
      <c r="G110" s="14">
        <f>IF(OR(E110="",F110=""),"",E110*F110)</f>
        <v/>
      </c>
      <c r="H110" s="3" t="n"/>
    </row>
    <row r="111">
      <c r="A111" s="11" t="n"/>
      <c r="B111" s="11" t="n"/>
      <c r="C111" s="11" t="n"/>
      <c r="D111" s="22">
        <f>IF(A111="","",IFERROR(VLOOKUP(A111,'صورت وضعیت پروژه'!$B$9:$G$48,2,0),"؟ آیتم پیدا نشد"))</f>
        <v/>
      </c>
      <c r="E111" s="11" t="n"/>
      <c r="F111" s="14">
        <f>IF(A111="","",IFERROR(VLOOKUP(A111,'صورت وضعیت پروژه'!$B$9:$G$48,6,0),""))</f>
        <v/>
      </c>
      <c r="G111" s="14">
        <f>IF(OR(E111="",F111=""),"",E111*F111)</f>
        <v/>
      </c>
      <c r="H111" s="3" t="n"/>
    </row>
    <row r="112">
      <c r="A112" s="11" t="n"/>
      <c r="B112" s="11" t="n"/>
      <c r="C112" s="11" t="n"/>
      <c r="D112" s="22">
        <f>IF(A112="","",IFERROR(VLOOKUP(A112,'صورت وضعیت پروژه'!$B$9:$G$48,2,0),"؟ آیتم پیدا نشد"))</f>
        <v/>
      </c>
      <c r="E112" s="11" t="n"/>
      <c r="F112" s="14">
        <f>IF(A112="","",IFERROR(VLOOKUP(A112,'صورت وضعیت پروژه'!$B$9:$G$48,6,0),""))</f>
        <v/>
      </c>
      <c r="G112" s="14">
        <f>IF(OR(E112="",F112=""),"",E112*F112)</f>
        <v/>
      </c>
      <c r="H112" s="3" t="n"/>
    </row>
    <row r="113">
      <c r="A113" s="11" t="n"/>
      <c r="B113" s="11" t="n"/>
      <c r="C113" s="11" t="n"/>
      <c r="D113" s="22">
        <f>IF(A113="","",IFERROR(VLOOKUP(A113,'صورت وضعیت پروژه'!$B$9:$G$48,2,0),"؟ آیتم پیدا نشد"))</f>
        <v/>
      </c>
      <c r="E113" s="11" t="n"/>
      <c r="F113" s="14">
        <f>IF(A113="","",IFERROR(VLOOKUP(A113,'صورت وضعیت پروژه'!$B$9:$G$48,6,0),""))</f>
        <v/>
      </c>
      <c r="G113" s="14">
        <f>IF(OR(E113="",F113=""),"",E113*F113)</f>
        <v/>
      </c>
      <c r="H113" s="3" t="n"/>
    </row>
    <row r="114">
      <c r="A114" s="11" t="n"/>
      <c r="B114" s="11" t="n"/>
      <c r="C114" s="11" t="n"/>
      <c r="D114" s="22">
        <f>IF(A114="","",IFERROR(VLOOKUP(A114,'صورت وضعیت پروژه'!$B$9:$G$48,2,0),"؟ آیتم پیدا نشد"))</f>
        <v/>
      </c>
      <c r="E114" s="11" t="n"/>
      <c r="F114" s="14">
        <f>IF(A114="","",IFERROR(VLOOKUP(A114,'صورت وضعیت پروژه'!$B$9:$G$48,6,0),""))</f>
        <v/>
      </c>
      <c r="G114" s="14">
        <f>IF(OR(E114="",F114=""),"",E114*F114)</f>
        <v/>
      </c>
      <c r="H114" s="3" t="n"/>
    </row>
    <row r="115">
      <c r="A115" s="11" t="n"/>
      <c r="B115" s="11" t="n"/>
      <c r="C115" s="11" t="n"/>
      <c r="D115" s="22">
        <f>IF(A115="","",IFERROR(VLOOKUP(A115,'صورت وضعیت پروژه'!$B$9:$G$48,2,0),"؟ آیتم پیدا نشد"))</f>
        <v/>
      </c>
      <c r="E115" s="11" t="n"/>
      <c r="F115" s="14">
        <f>IF(A115="","",IFERROR(VLOOKUP(A115,'صورت وضعیت پروژه'!$B$9:$G$48,6,0),""))</f>
        <v/>
      </c>
      <c r="G115" s="14">
        <f>IF(OR(E115="",F115=""),"",E115*F115)</f>
        <v/>
      </c>
      <c r="H115" s="3" t="n"/>
    </row>
    <row r="116">
      <c r="A116" s="11" t="n"/>
      <c r="B116" s="11" t="n"/>
      <c r="C116" s="11" t="n"/>
      <c r="D116" s="22">
        <f>IF(A116="","",IFERROR(VLOOKUP(A116,'صورت وضعیت پروژه'!$B$9:$G$48,2,0),"؟ آیتم پیدا نشد"))</f>
        <v/>
      </c>
      <c r="E116" s="11" t="n"/>
      <c r="F116" s="14">
        <f>IF(A116="","",IFERROR(VLOOKUP(A116,'صورت وضعیت پروژه'!$B$9:$G$48,6,0),""))</f>
        <v/>
      </c>
      <c r="G116" s="14">
        <f>IF(OR(E116="",F116=""),"",E116*F116)</f>
        <v/>
      </c>
      <c r="H116" s="3" t="n"/>
    </row>
    <row r="117">
      <c r="A117" s="11" t="n"/>
      <c r="B117" s="11" t="n"/>
      <c r="C117" s="11" t="n"/>
      <c r="D117" s="22">
        <f>IF(A117="","",IFERROR(VLOOKUP(A117,'صورت وضعیت پروژه'!$B$9:$G$48,2,0),"؟ آیتم پیدا نشد"))</f>
        <v/>
      </c>
      <c r="E117" s="11" t="n"/>
      <c r="F117" s="14">
        <f>IF(A117="","",IFERROR(VLOOKUP(A117,'صورت وضعیت پروژه'!$B$9:$G$48,6,0),""))</f>
        <v/>
      </c>
      <c r="G117" s="14">
        <f>IF(OR(E117="",F117=""),"",E117*F117)</f>
        <v/>
      </c>
      <c r="H117" s="3" t="n"/>
    </row>
    <row r="118">
      <c r="A118" s="11" t="n"/>
      <c r="B118" s="11" t="n"/>
      <c r="C118" s="11" t="n"/>
      <c r="D118" s="22">
        <f>IF(A118="","",IFERROR(VLOOKUP(A118,'صورت وضعیت پروژه'!$B$9:$G$48,2,0),"؟ آیتم پیدا نشد"))</f>
        <v/>
      </c>
      <c r="E118" s="11" t="n"/>
      <c r="F118" s="14">
        <f>IF(A118="","",IFERROR(VLOOKUP(A118,'صورت وضعیت پروژه'!$B$9:$G$48,6,0),""))</f>
        <v/>
      </c>
      <c r="G118" s="14">
        <f>IF(OR(E118="",F118=""),"",E118*F118)</f>
        <v/>
      </c>
      <c r="H118" s="3" t="n"/>
    </row>
    <row r="119">
      <c r="A119" s="11" t="n"/>
      <c r="B119" s="11" t="n"/>
      <c r="C119" s="11" t="n"/>
      <c r="D119" s="22">
        <f>IF(A119="","",IFERROR(VLOOKUP(A119,'صورت وضعیت پروژه'!$B$9:$G$48,2,0),"؟ آیتم پیدا نشد"))</f>
        <v/>
      </c>
      <c r="E119" s="11" t="n"/>
      <c r="F119" s="14">
        <f>IF(A119="","",IFERROR(VLOOKUP(A119,'صورت وضعیت پروژه'!$B$9:$G$48,6,0),""))</f>
        <v/>
      </c>
      <c r="G119" s="14">
        <f>IF(OR(E119="",F119=""),"",E119*F119)</f>
        <v/>
      </c>
      <c r="H119" s="3" t="n"/>
    </row>
    <row r="120">
      <c r="A120" s="11" t="n"/>
      <c r="B120" s="11" t="n"/>
      <c r="C120" s="11" t="n"/>
      <c r="D120" s="22">
        <f>IF(A120="","",IFERROR(VLOOKUP(A120,'صورت وضعیت پروژه'!$B$9:$G$48,2,0),"؟ آیتم پیدا نشد"))</f>
        <v/>
      </c>
      <c r="E120" s="11" t="n"/>
      <c r="F120" s="14">
        <f>IF(A120="","",IFERROR(VLOOKUP(A120,'صورت وضعیت پروژه'!$B$9:$G$48,6,0),""))</f>
        <v/>
      </c>
      <c r="G120" s="14">
        <f>IF(OR(E120="",F120=""),"",E120*F120)</f>
        <v/>
      </c>
      <c r="H120" s="3" t="n"/>
    </row>
    <row r="121">
      <c r="A121" s="11" t="n"/>
      <c r="B121" s="11" t="n"/>
      <c r="C121" s="11" t="n"/>
      <c r="D121" s="22">
        <f>IF(A121="","",IFERROR(VLOOKUP(A121,'صورت وضعیت پروژه'!$B$9:$G$48,2,0),"؟ آیتم پیدا نشد"))</f>
        <v/>
      </c>
      <c r="E121" s="11" t="n"/>
      <c r="F121" s="14">
        <f>IF(A121="","",IFERROR(VLOOKUP(A121,'صورت وضعیت پروژه'!$B$9:$G$48,6,0),""))</f>
        <v/>
      </c>
      <c r="G121" s="14">
        <f>IF(OR(E121="",F121=""),"",E121*F121)</f>
        <v/>
      </c>
      <c r="H121" s="3" t="n"/>
    </row>
    <row r="122">
      <c r="A122" s="11" t="n"/>
      <c r="B122" s="11" t="n"/>
      <c r="C122" s="11" t="n"/>
      <c r="D122" s="22">
        <f>IF(A122="","",IFERROR(VLOOKUP(A122,'صورت وضعیت پروژه'!$B$9:$G$48,2,0),"؟ آیتم پیدا نشد"))</f>
        <v/>
      </c>
      <c r="E122" s="11" t="n"/>
      <c r="F122" s="14">
        <f>IF(A122="","",IFERROR(VLOOKUP(A122,'صورت وضعیت پروژه'!$B$9:$G$48,6,0),""))</f>
        <v/>
      </c>
      <c r="G122" s="14">
        <f>IF(OR(E122="",F122=""),"",E122*F122)</f>
        <v/>
      </c>
      <c r="H122" s="3" t="n"/>
    </row>
    <row r="123">
      <c r="A123" s="11" t="n"/>
      <c r="B123" s="11" t="n"/>
      <c r="C123" s="11" t="n"/>
      <c r="D123" s="22">
        <f>IF(A123="","",IFERROR(VLOOKUP(A123,'صورت وضعیت پروژه'!$B$9:$G$48,2,0),"؟ آیتم پیدا نشد"))</f>
        <v/>
      </c>
      <c r="E123" s="11" t="n"/>
      <c r="F123" s="14">
        <f>IF(A123="","",IFERROR(VLOOKUP(A123,'صورت وضعیت پروژه'!$B$9:$G$48,6,0),""))</f>
        <v/>
      </c>
      <c r="G123" s="14">
        <f>IF(OR(E123="",F123=""),"",E123*F123)</f>
        <v/>
      </c>
      <c r="H123" s="3" t="n"/>
    </row>
    <row r="124">
      <c r="A124" s="11" t="n"/>
      <c r="B124" s="11" t="n"/>
      <c r="C124" s="11" t="n"/>
      <c r="D124" s="22">
        <f>IF(A124="","",IFERROR(VLOOKUP(A124,'صورت وضعیت پروژه'!$B$9:$G$48,2,0),"؟ آیتم پیدا نشد"))</f>
        <v/>
      </c>
      <c r="E124" s="11" t="n"/>
      <c r="F124" s="14">
        <f>IF(A124="","",IFERROR(VLOOKUP(A124,'صورت وضعیت پروژه'!$B$9:$G$48,6,0),""))</f>
        <v/>
      </c>
      <c r="G124" s="14">
        <f>IF(OR(E124="",F124=""),"",E124*F124)</f>
        <v/>
      </c>
      <c r="H124" s="3" t="n"/>
    </row>
    <row r="125">
      <c r="A125" s="11" t="n"/>
      <c r="B125" s="11" t="n"/>
      <c r="C125" s="11" t="n"/>
      <c r="D125" s="22">
        <f>IF(A125="","",IFERROR(VLOOKUP(A125,'صورت وضعیت پروژه'!$B$9:$G$48,2,0),"؟ آیتم پیدا نشد"))</f>
        <v/>
      </c>
      <c r="E125" s="11" t="n"/>
      <c r="F125" s="14">
        <f>IF(A125="","",IFERROR(VLOOKUP(A125,'صورت وضعیت پروژه'!$B$9:$G$48,6,0),""))</f>
        <v/>
      </c>
      <c r="G125" s="14">
        <f>IF(OR(E125="",F125=""),"",E125*F125)</f>
        <v/>
      </c>
      <c r="H125" s="3" t="n"/>
    </row>
    <row r="126">
      <c r="A126" s="11" t="n"/>
      <c r="B126" s="11" t="n"/>
      <c r="C126" s="11" t="n"/>
      <c r="D126" s="22">
        <f>IF(A126="","",IFERROR(VLOOKUP(A126,'صورت وضعیت پروژه'!$B$9:$G$48,2,0),"؟ آیتم پیدا نشد"))</f>
        <v/>
      </c>
      <c r="E126" s="11" t="n"/>
      <c r="F126" s="14">
        <f>IF(A126="","",IFERROR(VLOOKUP(A126,'صورت وضعیت پروژه'!$B$9:$G$48,6,0),""))</f>
        <v/>
      </c>
      <c r="G126" s="14">
        <f>IF(OR(E126="",F126=""),"",E126*F126)</f>
        <v/>
      </c>
      <c r="H126" s="3" t="n"/>
    </row>
    <row r="127">
      <c r="A127" s="11" t="n"/>
      <c r="B127" s="11" t="n"/>
      <c r="C127" s="11" t="n"/>
      <c r="D127" s="22">
        <f>IF(A127="","",IFERROR(VLOOKUP(A127,'صورت وضعیت پروژه'!$B$9:$G$48,2,0),"؟ آیتم پیدا نشد"))</f>
        <v/>
      </c>
      <c r="E127" s="11" t="n"/>
      <c r="F127" s="14">
        <f>IF(A127="","",IFERROR(VLOOKUP(A127,'صورت وضعیت پروژه'!$B$9:$G$48,6,0),""))</f>
        <v/>
      </c>
      <c r="G127" s="14">
        <f>IF(OR(E127="",F127=""),"",E127*F127)</f>
        <v/>
      </c>
      <c r="H127" s="3" t="n"/>
    </row>
    <row r="128">
      <c r="A128" s="11" t="n"/>
      <c r="B128" s="11" t="n"/>
      <c r="C128" s="11" t="n"/>
      <c r="D128" s="22">
        <f>IF(A128="","",IFERROR(VLOOKUP(A128,'صورت وضعیت پروژه'!$B$9:$G$48,2,0),"؟ آیتم پیدا نشد"))</f>
        <v/>
      </c>
      <c r="E128" s="11" t="n"/>
      <c r="F128" s="14">
        <f>IF(A128="","",IFERROR(VLOOKUP(A128,'صورت وضعیت پروژه'!$B$9:$G$48,6,0),""))</f>
        <v/>
      </c>
      <c r="G128" s="14">
        <f>IF(OR(E128="",F128=""),"",E128*F128)</f>
        <v/>
      </c>
      <c r="H128" s="3" t="n"/>
    </row>
    <row r="129">
      <c r="A129" s="11" t="n"/>
      <c r="B129" s="11" t="n"/>
      <c r="C129" s="11" t="n"/>
      <c r="D129" s="22">
        <f>IF(A129="","",IFERROR(VLOOKUP(A129,'صورت وضعیت پروژه'!$B$9:$G$48,2,0),"؟ آیتم پیدا نشد"))</f>
        <v/>
      </c>
      <c r="E129" s="11" t="n"/>
      <c r="F129" s="14">
        <f>IF(A129="","",IFERROR(VLOOKUP(A129,'صورت وضعیت پروژه'!$B$9:$G$48,6,0),""))</f>
        <v/>
      </c>
      <c r="G129" s="14">
        <f>IF(OR(E129="",F129=""),"",E129*F129)</f>
        <v/>
      </c>
      <c r="H129" s="3" t="n"/>
    </row>
    <row r="130">
      <c r="A130" s="11" t="n"/>
      <c r="B130" s="11" t="n"/>
      <c r="C130" s="11" t="n"/>
      <c r="D130" s="22">
        <f>IF(A130="","",IFERROR(VLOOKUP(A130,'صورت وضعیت پروژه'!$B$9:$G$48,2,0),"؟ آیتم پیدا نشد"))</f>
        <v/>
      </c>
      <c r="E130" s="11" t="n"/>
      <c r="F130" s="14">
        <f>IF(A130="","",IFERROR(VLOOKUP(A130,'صورت وضعیت پروژه'!$B$9:$G$48,6,0),""))</f>
        <v/>
      </c>
      <c r="G130" s="14">
        <f>IF(OR(E130="",F130=""),"",E130*F130)</f>
        <v/>
      </c>
      <c r="H130" s="3" t="n"/>
    </row>
    <row r="131">
      <c r="A131" s="11" t="n"/>
      <c r="B131" s="11" t="n"/>
      <c r="C131" s="11" t="n"/>
      <c r="D131" s="22">
        <f>IF(A131="","",IFERROR(VLOOKUP(A131,'صورت وضعیت پروژه'!$B$9:$G$48,2,0),"؟ آیتم پیدا نشد"))</f>
        <v/>
      </c>
      <c r="E131" s="11" t="n"/>
      <c r="F131" s="14">
        <f>IF(A131="","",IFERROR(VLOOKUP(A131,'صورت وضعیت پروژه'!$B$9:$G$48,6,0),""))</f>
        <v/>
      </c>
      <c r="G131" s="14">
        <f>IF(OR(E131="",F131=""),"",E131*F131)</f>
        <v/>
      </c>
      <c r="H131" s="3" t="n"/>
    </row>
    <row r="132">
      <c r="A132" s="11" t="n"/>
      <c r="B132" s="11" t="n"/>
      <c r="C132" s="11" t="n"/>
      <c r="D132" s="22">
        <f>IF(A132="","",IFERROR(VLOOKUP(A132,'صورت وضعیت پروژه'!$B$9:$G$48,2,0),"؟ آیتم پیدا نشد"))</f>
        <v/>
      </c>
      <c r="E132" s="11" t="n"/>
      <c r="F132" s="14">
        <f>IF(A132="","",IFERROR(VLOOKUP(A132,'صورت وضعیت پروژه'!$B$9:$G$48,6,0),""))</f>
        <v/>
      </c>
      <c r="G132" s="14">
        <f>IF(OR(E132="",F132=""),"",E132*F132)</f>
        <v/>
      </c>
      <c r="H132" s="3" t="n"/>
    </row>
    <row r="133">
      <c r="A133" s="11" t="n"/>
      <c r="B133" s="11" t="n"/>
      <c r="C133" s="11" t="n"/>
      <c r="D133" s="22">
        <f>IF(A133="","",IFERROR(VLOOKUP(A133,'صورت وضعیت پروژه'!$B$9:$G$48,2,0),"؟ آیتم پیدا نشد"))</f>
        <v/>
      </c>
      <c r="E133" s="11" t="n"/>
      <c r="F133" s="14">
        <f>IF(A133="","",IFERROR(VLOOKUP(A133,'صورت وضعیت پروژه'!$B$9:$G$48,6,0),""))</f>
        <v/>
      </c>
      <c r="G133" s="14">
        <f>IF(OR(E133="",F133=""),"",E133*F133)</f>
        <v/>
      </c>
      <c r="H133" s="3" t="n"/>
    </row>
    <row r="134">
      <c r="A134" s="11" t="n"/>
      <c r="B134" s="11" t="n"/>
      <c r="C134" s="11" t="n"/>
      <c r="D134" s="22">
        <f>IF(A134="","",IFERROR(VLOOKUP(A134,'صورت وضعیت پروژه'!$B$9:$G$48,2,0),"؟ آیتم پیدا نشد"))</f>
        <v/>
      </c>
      <c r="E134" s="11" t="n"/>
      <c r="F134" s="14">
        <f>IF(A134="","",IFERROR(VLOOKUP(A134,'صورت وضعیت پروژه'!$B$9:$G$48,6,0),""))</f>
        <v/>
      </c>
      <c r="G134" s="14">
        <f>IF(OR(E134="",F134=""),"",E134*F134)</f>
        <v/>
      </c>
      <c r="H134" s="3" t="n"/>
    </row>
    <row r="135">
      <c r="A135" s="11" t="n"/>
      <c r="B135" s="11" t="n"/>
      <c r="C135" s="11" t="n"/>
      <c r="D135" s="22">
        <f>IF(A135="","",IFERROR(VLOOKUP(A135,'صورت وضعیت پروژه'!$B$9:$G$48,2,0),"؟ آیتم پیدا نشد"))</f>
        <v/>
      </c>
      <c r="E135" s="11" t="n"/>
      <c r="F135" s="14">
        <f>IF(A135="","",IFERROR(VLOOKUP(A135,'صورت وضعیت پروژه'!$B$9:$G$48,6,0),""))</f>
        <v/>
      </c>
      <c r="G135" s="14">
        <f>IF(OR(E135="",F135=""),"",E135*F135)</f>
        <v/>
      </c>
      <c r="H135" s="3" t="n"/>
    </row>
    <row r="136">
      <c r="A136" s="11" t="n"/>
      <c r="B136" s="11" t="n"/>
      <c r="C136" s="11" t="n"/>
      <c r="D136" s="22">
        <f>IF(A136="","",IFERROR(VLOOKUP(A136,'صورت وضعیت پروژه'!$B$9:$G$48,2,0),"؟ آیتم پیدا نشد"))</f>
        <v/>
      </c>
      <c r="E136" s="11" t="n"/>
      <c r="F136" s="14">
        <f>IF(A136="","",IFERROR(VLOOKUP(A136,'صورت وضعیت پروژه'!$B$9:$G$48,6,0),""))</f>
        <v/>
      </c>
      <c r="G136" s="14">
        <f>IF(OR(E136="",F136=""),"",E136*F136)</f>
        <v/>
      </c>
      <c r="H136" s="3" t="n"/>
    </row>
    <row r="137">
      <c r="A137" s="11" t="n"/>
      <c r="B137" s="11" t="n"/>
      <c r="C137" s="11" t="n"/>
      <c r="D137" s="22">
        <f>IF(A137="","",IFERROR(VLOOKUP(A137,'صورت وضعیت پروژه'!$B$9:$G$48,2,0),"؟ آیتم پیدا نشد"))</f>
        <v/>
      </c>
      <c r="E137" s="11" t="n"/>
      <c r="F137" s="14">
        <f>IF(A137="","",IFERROR(VLOOKUP(A137,'صورت وضعیت پروژه'!$B$9:$G$48,6,0),""))</f>
        <v/>
      </c>
      <c r="G137" s="14">
        <f>IF(OR(E137="",F137=""),"",E137*F137)</f>
        <v/>
      </c>
      <c r="H137" s="3" t="n"/>
    </row>
    <row r="138">
      <c r="A138" s="11" t="n"/>
      <c r="B138" s="11" t="n"/>
      <c r="C138" s="11" t="n"/>
      <c r="D138" s="22">
        <f>IF(A138="","",IFERROR(VLOOKUP(A138,'صورت وضعیت پروژه'!$B$9:$G$48,2,0),"؟ آیتم پیدا نشد"))</f>
        <v/>
      </c>
      <c r="E138" s="11" t="n"/>
      <c r="F138" s="14">
        <f>IF(A138="","",IFERROR(VLOOKUP(A138,'صورت وضعیت پروژه'!$B$9:$G$48,6,0),""))</f>
        <v/>
      </c>
      <c r="G138" s="14">
        <f>IF(OR(E138="",F138=""),"",E138*F138)</f>
        <v/>
      </c>
      <c r="H138" s="3" t="n"/>
    </row>
    <row r="139">
      <c r="A139" s="11" t="n"/>
      <c r="B139" s="11" t="n"/>
      <c r="C139" s="11" t="n"/>
      <c r="D139" s="22">
        <f>IF(A139="","",IFERROR(VLOOKUP(A139,'صورت وضعیت پروژه'!$B$9:$G$48,2,0),"؟ آیتم پیدا نشد"))</f>
        <v/>
      </c>
      <c r="E139" s="11" t="n"/>
      <c r="F139" s="14">
        <f>IF(A139="","",IFERROR(VLOOKUP(A139,'صورت وضعیت پروژه'!$B$9:$G$48,6,0),""))</f>
        <v/>
      </c>
      <c r="G139" s="14">
        <f>IF(OR(E139="",F139=""),"",E139*F139)</f>
        <v/>
      </c>
      <c r="H139" s="3" t="n"/>
    </row>
    <row r="140">
      <c r="A140" s="11" t="n"/>
      <c r="B140" s="11" t="n"/>
      <c r="C140" s="11" t="n"/>
      <c r="D140" s="22">
        <f>IF(A140="","",IFERROR(VLOOKUP(A140,'صورت وضعیت پروژه'!$B$9:$G$48,2,0),"؟ آیتم پیدا نشد"))</f>
        <v/>
      </c>
      <c r="E140" s="11" t="n"/>
      <c r="F140" s="14">
        <f>IF(A140="","",IFERROR(VLOOKUP(A140,'صورت وضعیت پروژه'!$B$9:$G$48,6,0),""))</f>
        <v/>
      </c>
      <c r="G140" s="14">
        <f>IF(OR(E140="",F140=""),"",E140*F140)</f>
        <v/>
      </c>
      <c r="H140" s="3" t="n"/>
    </row>
    <row r="141">
      <c r="A141" s="11" t="n"/>
      <c r="B141" s="11" t="n"/>
      <c r="C141" s="11" t="n"/>
      <c r="D141" s="22">
        <f>IF(A141="","",IFERROR(VLOOKUP(A141,'صورت وضعیت پروژه'!$B$9:$G$48,2,0),"؟ آیتم پیدا نشد"))</f>
        <v/>
      </c>
      <c r="E141" s="11" t="n"/>
      <c r="F141" s="14">
        <f>IF(A141="","",IFERROR(VLOOKUP(A141,'صورت وضعیت پروژه'!$B$9:$G$48,6,0),""))</f>
        <v/>
      </c>
      <c r="G141" s="14">
        <f>IF(OR(E141="",F141=""),"",E141*F141)</f>
        <v/>
      </c>
      <c r="H141" s="3" t="n"/>
    </row>
    <row r="142">
      <c r="A142" s="11" t="n"/>
      <c r="B142" s="11" t="n"/>
      <c r="C142" s="11" t="n"/>
      <c r="D142" s="22">
        <f>IF(A142="","",IFERROR(VLOOKUP(A142,'صورت وضعیت پروژه'!$B$9:$G$48,2,0),"؟ آیتم پیدا نشد"))</f>
        <v/>
      </c>
      <c r="E142" s="11" t="n"/>
      <c r="F142" s="14">
        <f>IF(A142="","",IFERROR(VLOOKUP(A142,'صورت وضعیت پروژه'!$B$9:$G$48,6,0),""))</f>
        <v/>
      </c>
      <c r="G142" s="14">
        <f>IF(OR(E142="",F142=""),"",E142*F142)</f>
        <v/>
      </c>
      <c r="H142" s="3" t="n"/>
    </row>
    <row r="143">
      <c r="A143" s="11" t="n"/>
      <c r="B143" s="11" t="n"/>
      <c r="C143" s="11" t="n"/>
      <c r="D143" s="22">
        <f>IF(A143="","",IFERROR(VLOOKUP(A143,'صورت وضعیت پروژه'!$B$9:$G$48,2,0),"؟ آیتم پیدا نشد"))</f>
        <v/>
      </c>
      <c r="E143" s="11" t="n"/>
      <c r="F143" s="14">
        <f>IF(A143="","",IFERROR(VLOOKUP(A143,'صورت وضعیت پروژه'!$B$9:$G$48,6,0),""))</f>
        <v/>
      </c>
      <c r="G143" s="14">
        <f>IF(OR(E143="",F143=""),"",E143*F143)</f>
        <v/>
      </c>
      <c r="H143" s="3" t="n"/>
    </row>
    <row r="144">
      <c r="A144" s="11" t="n"/>
      <c r="B144" s="11" t="n"/>
      <c r="C144" s="11" t="n"/>
      <c r="D144" s="22">
        <f>IF(A144="","",IFERROR(VLOOKUP(A144,'صورت وضعیت پروژه'!$B$9:$G$48,2,0),"؟ آیتم پیدا نشد"))</f>
        <v/>
      </c>
      <c r="E144" s="11" t="n"/>
      <c r="F144" s="14">
        <f>IF(A144="","",IFERROR(VLOOKUP(A144,'صورت وضعیت پروژه'!$B$9:$G$48,6,0),""))</f>
        <v/>
      </c>
      <c r="G144" s="14">
        <f>IF(OR(E144="",F144=""),"",E144*F144)</f>
        <v/>
      </c>
      <c r="H144" s="3" t="n"/>
    </row>
    <row r="145">
      <c r="A145" s="11" t="n"/>
      <c r="B145" s="11" t="n"/>
      <c r="C145" s="11" t="n"/>
      <c r="D145" s="22">
        <f>IF(A145="","",IFERROR(VLOOKUP(A145,'صورت وضعیت پروژه'!$B$9:$G$48,2,0),"؟ آیتم پیدا نشد"))</f>
        <v/>
      </c>
      <c r="E145" s="11" t="n"/>
      <c r="F145" s="14">
        <f>IF(A145="","",IFERROR(VLOOKUP(A145,'صورت وضعیت پروژه'!$B$9:$G$48,6,0),""))</f>
        <v/>
      </c>
      <c r="G145" s="14">
        <f>IF(OR(E145="",F145=""),"",E145*F145)</f>
        <v/>
      </c>
      <c r="H145" s="3" t="n"/>
    </row>
    <row r="146">
      <c r="A146" s="11" t="n"/>
      <c r="B146" s="11" t="n"/>
      <c r="C146" s="11" t="n"/>
      <c r="D146" s="22">
        <f>IF(A146="","",IFERROR(VLOOKUP(A146,'صورت وضعیت پروژه'!$B$9:$G$48,2,0),"؟ آیتم پیدا نشد"))</f>
        <v/>
      </c>
      <c r="E146" s="11" t="n"/>
      <c r="F146" s="14">
        <f>IF(A146="","",IFERROR(VLOOKUP(A146,'صورت وضعیت پروژه'!$B$9:$G$48,6,0),""))</f>
        <v/>
      </c>
      <c r="G146" s="14">
        <f>IF(OR(E146="",F146=""),"",E146*F146)</f>
        <v/>
      </c>
      <c r="H146" s="3" t="n"/>
    </row>
    <row r="147">
      <c r="A147" s="11" t="n"/>
      <c r="B147" s="11" t="n"/>
      <c r="C147" s="11" t="n"/>
      <c r="D147" s="22">
        <f>IF(A147="","",IFERROR(VLOOKUP(A147,'صورت وضعیت پروژه'!$B$9:$G$48,2,0),"؟ آیتم پیدا نشد"))</f>
        <v/>
      </c>
      <c r="E147" s="11" t="n"/>
      <c r="F147" s="14">
        <f>IF(A147="","",IFERROR(VLOOKUP(A147,'صورت وضعیت پروژه'!$B$9:$G$48,6,0),""))</f>
        <v/>
      </c>
      <c r="G147" s="14">
        <f>IF(OR(E147="",F147=""),"",E147*F147)</f>
        <v/>
      </c>
      <c r="H147" s="3" t="n"/>
    </row>
    <row r="148">
      <c r="A148" s="11" t="n"/>
      <c r="B148" s="11" t="n"/>
      <c r="C148" s="11" t="n"/>
      <c r="D148" s="22">
        <f>IF(A148="","",IFERROR(VLOOKUP(A148,'صورت وضعیت پروژه'!$B$9:$G$48,2,0),"؟ آیتم پیدا نشد"))</f>
        <v/>
      </c>
      <c r="E148" s="11" t="n"/>
      <c r="F148" s="14">
        <f>IF(A148="","",IFERROR(VLOOKUP(A148,'صورت وضعیت پروژه'!$B$9:$G$48,6,0),""))</f>
        <v/>
      </c>
      <c r="G148" s="14">
        <f>IF(OR(E148="",F148=""),"",E148*F148)</f>
        <v/>
      </c>
      <c r="H148" s="3" t="n"/>
    </row>
    <row r="149">
      <c r="A149" s="11" t="n"/>
      <c r="B149" s="11" t="n"/>
      <c r="C149" s="11" t="n"/>
      <c r="D149" s="22">
        <f>IF(A149="","",IFERROR(VLOOKUP(A149,'صورت وضعیت پروژه'!$B$9:$G$48,2,0),"؟ آیتم پیدا نشد"))</f>
        <v/>
      </c>
      <c r="E149" s="11" t="n"/>
      <c r="F149" s="14">
        <f>IF(A149="","",IFERROR(VLOOKUP(A149,'صورت وضعیت پروژه'!$B$9:$G$48,6,0),""))</f>
        <v/>
      </c>
      <c r="G149" s="14">
        <f>IF(OR(E149="",F149=""),"",E149*F149)</f>
        <v/>
      </c>
      <c r="H149" s="3" t="n"/>
    </row>
    <row r="150">
      <c r="A150" s="11" t="n"/>
      <c r="B150" s="11" t="n"/>
      <c r="C150" s="11" t="n"/>
      <c r="D150" s="22">
        <f>IF(A150="","",IFERROR(VLOOKUP(A150,'صورت وضعیت پروژه'!$B$9:$G$48,2,0),"؟ آیتم پیدا نشد"))</f>
        <v/>
      </c>
      <c r="E150" s="11" t="n"/>
      <c r="F150" s="14">
        <f>IF(A150="","",IFERROR(VLOOKUP(A150,'صورت وضعیت پروژه'!$B$9:$G$48,6,0),""))</f>
        <v/>
      </c>
      <c r="G150" s="14">
        <f>IF(OR(E150="",F150=""),"",E150*F150)</f>
        <v/>
      </c>
      <c r="H150" s="3" t="n"/>
    </row>
    <row r="151">
      <c r="A151" s="11" t="n"/>
      <c r="B151" s="11" t="n"/>
      <c r="C151" s="11" t="n"/>
      <c r="D151" s="22">
        <f>IF(A151="","",IFERROR(VLOOKUP(A151,'صورت وضعیت پروژه'!$B$9:$G$48,2,0),"؟ آیتم پیدا نشد"))</f>
        <v/>
      </c>
      <c r="E151" s="11" t="n"/>
      <c r="F151" s="14">
        <f>IF(A151="","",IFERROR(VLOOKUP(A151,'صورت وضعیت پروژه'!$B$9:$G$48,6,0),""))</f>
        <v/>
      </c>
      <c r="G151" s="14">
        <f>IF(OR(E151="",F151=""),"",E151*F151)</f>
        <v/>
      </c>
      <c r="H151" s="3" t="n"/>
    </row>
    <row r="152">
      <c r="A152" s="11" t="n"/>
      <c r="B152" s="11" t="n"/>
      <c r="C152" s="11" t="n"/>
      <c r="D152" s="22">
        <f>IF(A152="","",IFERROR(VLOOKUP(A152,'صورت وضعیت پروژه'!$B$9:$G$48,2,0),"؟ آیتم پیدا نشد"))</f>
        <v/>
      </c>
      <c r="E152" s="11" t="n"/>
      <c r="F152" s="14">
        <f>IF(A152="","",IFERROR(VLOOKUP(A152,'صورت وضعیت پروژه'!$B$9:$G$48,6,0),""))</f>
        <v/>
      </c>
      <c r="G152" s="14">
        <f>IF(OR(E152="",F152=""),"",E152*F152)</f>
        <v/>
      </c>
      <c r="H152" s="3" t="n"/>
    </row>
    <row r="153">
      <c r="A153" s="11" t="n"/>
      <c r="B153" s="11" t="n"/>
      <c r="C153" s="11" t="n"/>
      <c r="D153" s="22">
        <f>IF(A153="","",IFERROR(VLOOKUP(A153,'صورت وضعیت پروژه'!$B$9:$G$48,2,0),"؟ آیتم پیدا نشد"))</f>
        <v/>
      </c>
      <c r="E153" s="11" t="n"/>
      <c r="F153" s="14">
        <f>IF(A153="","",IFERROR(VLOOKUP(A153,'صورت وضعیت پروژه'!$B$9:$G$48,6,0),""))</f>
        <v/>
      </c>
      <c r="G153" s="14">
        <f>IF(OR(E153="",F153=""),"",E153*F153)</f>
        <v/>
      </c>
      <c r="H153" s="3" t="n"/>
    </row>
    <row r="154">
      <c r="A154" s="11" t="n"/>
      <c r="B154" s="11" t="n"/>
      <c r="C154" s="11" t="n"/>
      <c r="D154" s="22">
        <f>IF(A154="","",IFERROR(VLOOKUP(A154,'صورت وضعیت پروژه'!$B$9:$G$48,2,0),"؟ آیتم پیدا نشد"))</f>
        <v/>
      </c>
      <c r="E154" s="11" t="n"/>
      <c r="F154" s="14">
        <f>IF(A154="","",IFERROR(VLOOKUP(A154,'صورت وضعیت پروژه'!$B$9:$G$48,6,0),""))</f>
        <v/>
      </c>
      <c r="G154" s="14">
        <f>IF(OR(E154="",F154=""),"",E154*F154)</f>
        <v/>
      </c>
      <c r="H154" s="3" t="n"/>
    </row>
    <row r="155">
      <c r="A155" s="11" t="n"/>
      <c r="B155" s="11" t="n"/>
      <c r="C155" s="11" t="n"/>
      <c r="D155" s="22">
        <f>IF(A155="","",IFERROR(VLOOKUP(A155,'صورت وضعیت پروژه'!$B$9:$G$48,2,0),"؟ آیتم پیدا نشد"))</f>
        <v/>
      </c>
      <c r="E155" s="11" t="n"/>
      <c r="F155" s="14">
        <f>IF(A155="","",IFERROR(VLOOKUP(A155,'صورت وضعیت پروژه'!$B$9:$G$48,6,0),""))</f>
        <v/>
      </c>
      <c r="G155" s="14">
        <f>IF(OR(E155="",F155=""),"",E155*F155)</f>
        <v/>
      </c>
      <c r="H155" s="3" t="n"/>
    </row>
    <row r="156">
      <c r="A156" s="11" t="n"/>
      <c r="B156" s="11" t="n"/>
      <c r="C156" s="11" t="n"/>
      <c r="D156" s="22">
        <f>IF(A156="","",IFERROR(VLOOKUP(A156,'صورت وضعیت پروژه'!$B$9:$G$48,2,0),"؟ آیتم پیدا نشد"))</f>
        <v/>
      </c>
      <c r="E156" s="11" t="n"/>
      <c r="F156" s="14">
        <f>IF(A156="","",IFERROR(VLOOKUP(A156,'صورت وضعیت پروژه'!$B$9:$G$48,6,0),""))</f>
        <v/>
      </c>
      <c r="G156" s="14">
        <f>IF(OR(E156="",F156=""),"",E156*F156)</f>
        <v/>
      </c>
      <c r="H156" s="3" t="n"/>
    </row>
    <row r="157">
      <c r="A157" s="11" t="n"/>
      <c r="B157" s="11" t="n"/>
      <c r="C157" s="11" t="n"/>
      <c r="D157" s="22">
        <f>IF(A157="","",IFERROR(VLOOKUP(A157,'صورت وضعیت پروژه'!$B$9:$G$48,2,0),"؟ آیتم پیدا نشد"))</f>
        <v/>
      </c>
      <c r="E157" s="11" t="n"/>
      <c r="F157" s="14">
        <f>IF(A157="","",IFERROR(VLOOKUP(A157,'صورت وضعیت پروژه'!$B$9:$G$48,6,0),""))</f>
        <v/>
      </c>
      <c r="G157" s="14">
        <f>IF(OR(E157="",F157=""),"",E157*F157)</f>
        <v/>
      </c>
      <c r="H157" s="3" t="n"/>
    </row>
    <row r="158">
      <c r="A158" s="11" t="n"/>
      <c r="B158" s="11" t="n"/>
      <c r="C158" s="11" t="n"/>
      <c r="D158" s="22">
        <f>IF(A158="","",IFERROR(VLOOKUP(A158,'صورت وضعیت پروژه'!$B$9:$G$48,2,0),"؟ آیتم پیدا نشد"))</f>
        <v/>
      </c>
      <c r="E158" s="11" t="n"/>
      <c r="F158" s="14">
        <f>IF(A158="","",IFERROR(VLOOKUP(A158,'صورت وضعیت پروژه'!$B$9:$G$48,6,0),""))</f>
        <v/>
      </c>
      <c r="G158" s="14">
        <f>IF(OR(E158="",F158=""),"",E158*F158)</f>
        <v/>
      </c>
      <c r="H158" s="3" t="n"/>
    </row>
    <row r="159">
      <c r="A159" s="11" t="n"/>
      <c r="B159" s="11" t="n"/>
      <c r="C159" s="11" t="n"/>
      <c r="D159" s="22">
        <f>IF(A159="","",IFERROR(VLOOKUP(A159,'صورت وضعیت پروژه'!$B$9:$G$48,2,0),"؟ آیتم پیدا نشد"))</f>
        <v/>
      </c>
      <c r="E159" s="11" t="n"/>
      <c r="F159" s="14">
        <f>IF(A159="","",IFERROR(VLOOKUP(A159,'صورت وضعیت پروژه'!$B$9:$G$48,6,0),""))</f>
        <v/>
      </c>
      <c r="G159" s="14">
        <f>IF(OR(E159="",F159=""),"",E159*F159)</f>
        <v/>
      </c>
      <c r="H159" s="3" t="n"/>
    </row>
    <row r="160">
      <c r="A160" s="11" t="n"/>
      <c r="B160" s="11" t="n"/>
      <c r="C160" s="11" t="n"/>
      <c r="D160" s="22">
        <f>IF(A160="","",IFERROR(VLOOKUP(A160,'صورت وضعیت پروژه'!$B$9:$G$48,2,0),"؟ آیتم پیدا نشد"))</f>
        <v/>
      </c>
      <c r="E160" s="11" t="n"/>
      <c r="F160" s="14">
        <f>IF(A160="","",IFERROR(VLOOKUP(A160,'صورت وضعیت پروژه'!$B$9:$G$48,6,0),""))</f>
        <v/>
      </c>
      <c r="G160" s="14">
        <f>IF(OR(E160="",F160=""),"",E160*F160)</f>
        <v/>
      </c>
      <c r="H160" s="3" t="n"/>
    </row>
    <row r="161">
      <c r="A161" s="11" t="n"/>
      <c r="B161" s="11" t="n"/>
      <c r="C161" s="11" t="n"/>
      <c r="D161" s="22">
        <f>IF(A161="","",IFERROR(VLOOKUP(A161,'صورت وضعیت پروژه'!$B$9:$G$48,2,0),"؟ آیتم پیدا نشد"))</f>
        <v/>
      </c>
      <c r="E161" s="11" t="n"/>
      <c r="F161" s="14">
        <f>IF(A161="","",IFERROR(VLOOKUP(A161,'صورت وضعیت پروژه'!$B$9:$G$48,6,0),""))</f>
        <v/>
      </c>
      <c r="G161" s="14">
        <f>IF(OR(E161="",F161=""),"",E161*F161)</f>
        <v/>
      </c>
      <c r="H161" s="3" t="n"/>
    </row>
    <row r="162">
      <c r="A162" s="11" t="n"/>
      <c r="B162" s="11" t="n"/>
      <c r="C162" s="11" t="n"/>
      <c r="D162" s="22">
        <f>IF(A162="","",IFERROR(VLOOKUP(A162,'صورت وضعیت پروژه'!$B$9:$G$48,2,0),"؟ آیتم پیدا نشد"))</f>
        <v/>
      </c>
      <c r="E162" s="11" t="n"/>
      <c r="F162" s="14">
        <f>IF(A162="","",IFERROR(VLOOKUP(A162,'صورت وضعیت پروژه'!$B$9:$G$48,6,0),""))</f>
        <v/>
      </c>
      <c r="G162" s="14">
        <f>IF(OR(E162="",F162=""),"",E162*F162)</f>
        <v/>
      </c>
      <c r="H162" s="3" t="n"/>
    </row>
    <row r="163">
      <c r="A163" s="11" t="n"/>
      <c r="B163" s="11" t="n"/>
      <c r="C163" s="11" t="n"/>
      <c r="D163" s="22">
        <f>IF(A163="","",IFERROR(VLOOKUP(A163,'صورت وضعیت پروژه'!$B$9:$G$48,2,0),"؟ آیتم پیدا نشد"))</f>
        <v/>
      </c>
      <c r="E163" s="11" t="n"/>
      <c r="F163" s="14">
        <f>IF(A163="","",IFERROR(VLOOKUP(A163,'صورت وضعیت پروژه'!$B$9:$G$48,6,0),""))</f>
        <v/>
      </c>
      <c r="G163" s="14">
        <f>IF(OR(E163="",F163=""),"",E163*F163)</f>
        <v/>
      </c>
      <c r="H163" s="3" t="n"/>
    </row>
    <row r="164">
      <c r="A164" s="11" t="n"/>
      <c r="B164" s="11" t="n"/>
      <c r="C164" s="11" t="n"/>
      <c r="D164" s="22">
        <f>IF(A164="","",IFERROR(VLOOKUP(A164,'صورت وضعیت پروژه'!$B$9:$G$48,2,0),"؟ آیتم پیدا نشد"))</f>
        <v/>
      </c>
      <c r="E164" s="11" t="n"/>
      <c r="F164" s="14">
        <f>IF(A164="","",IFERROR(VLOOKUP(A164,'صورت وضعیت پروژه'!$B$9:$G$48,6,0),""))</f>
        <v/>
      </c>
      <c r="G164" s="14">
        <f>IF(OR(E164="",F164=""),"",E164*F164)</f>
        <v/>
      </c>
      <c r="H164" s="3" t="n"/>
    </row>
    <row r="165">
      <c r="A165" s="11" t="n"/>
      <c r="B165" s="11" t="n"/>
      <c r="C165" s="11" t="n"/>
      <c r="D165" s="22">
        <f>IF(A165="","",IFERROR(VLOOKUP(A165,'صورت وضعیت پروژه'!$B$9:$G$48,2,0),"؟ آیتم پیدا نشد"))</f>
        <v/>
      </c>
      <c r="E165" s="11" t="n"/>
      <c r="F165" s="14">
        <f>IF(A165="","",IFERROR(VLOOKUP(A165,'صورت وضعیت پروژه'!$B$9:$G$48,6,0),""))</f>
        <v/>
      </c>
      <c r="G165" s="14">
        <f>IF(OR(E165="",F165=""),"",E165*F165)</f>
        <v/>
      </c>
      <c r="H165" s="3" t="n"/>
    </row>
    <row r="166">
      <c r="A166" s="11" t="n"/>
      <c r="B166" s="11" t="n"/>
      <c r="C166" s="11" t="n"/>
      <c r="D166" s="22">
        <f>IF(A166="","",IFERROR(VLOOKUP(A166,'صورت وضعیت پروژه'!$B$9:$G$48,2,0),"؟ آیتم پیدا نشد"))</f>
        <v/>
      </c>
      <c r="E166" s="11" t="n"/>
      <c r="F166" s="14">
        <f>IF(A166="","",IFERROR(VLOOKUP(A166,'صورت وضعیت پروژه'!$B$9:$G$48,6,0),""))</f>
        <v/>
      </c>
      <c r="G166" s="14">
        <f>IF(OR(E166="",F166=""),"",E166*F166)</f>
        <v/>
      </c>
      <c r="H166" s="3" t="n"/>
    </row>
    <row r="167">
      <c r="A167" s="11" t="n"/>
      <c r="B167" s="11" t="n"/>
      <c r="C167" s="11" t="n"/>
      <c r="D167" s="22">
        <f>IF(A167="","",IFERROR(VLOOKUP(A167,'صورت وضعیت پروژه'!$B$9:$G$48,2,0),"؟ آیتم پیدا نشد"))</f>
        <v/>
      </c>
      <c r="E167" s="11" t="n"/>
      <c r="F167" s="14">
        <f>IF(A167="","",IFERROR(VLOOKUP(A167,'صورت وضعیت پروژه'!$B$9:$G$48,6,0),""))</f>
        <v/>
      </c>
      <c r="G167" s="14">
        <f>IF(OR(E167="",F167=""),"",E167*F167)</f>
        <v/>
      </c>
      <c r="H167" s="3" t="n"/>
    </row>
    <row r="168">
      <c r="A168" s="11" t="n"/>
      <c r="B168" s="11" t="n"/>
      <c r="C168" s="11" t="n"/>
      <c r="D168" s="22">
        <f>IF(A168="","",IFERROR(VLOOKUP(A168,'صورت وضعیت پروژه'!$B$9:$G$48,2,0),"؟ آیتم پیدا نشد"))</f>
        <v/>
      </c>
      <c r="E168" s="11" t="n"/>
      <c r="F168" s="14">
        <f>IF(A168="","",IFERROR(VLOOKUP(A168,'صورت وضعیت پروژه'!$B$9:$G$48,6,0),""))</f>
        <v/>
      </c>
      <c r="G168" s="14">
        <f>IF(OR(E168="",F168=""),"",E168*F168)</f>
        <v/>
      </c>
      <c r="H168" s="3" t="n"/>
    </row>
    <row r="169">
      <c r="A169" s="11" t="n"/>
      <c r="B169" s="11" t="n"/>
      <c r="C169" s="11" t="n"/>
      <c r="D169" s="22">
        <f>IF(A169="","",IFERROR(VLOOKUP(A169,'صورت وضعیت پروژه'!$B$9:$G$48,2,0),"؟ آیتم پیدا نشد"))</f>
        <v/>
      </c>
      <c r="E169" s="11" t="n"/>
      <c r="F169" s="14">
        <f>IF(A169="","",IFERROR(VLOOKUP(A169,'صورت وضعیت پروژه'!$B$9:$G$48,6,0),""))</f>
        <v/>
      </c>
      <c r="G169" s="14">
        <f>IF(OR(E169="",F169=""),"",E169*F169)</f>
        <v/>
      </c>
      <c r="H169" s="3" t="n"/>
    </row>
    <row r="170">
      <c r="A170" s="11" t="n"/>
      <c r="B170" s="11" t="n"/>
      <c r="C170" s="11" t="n"/>
      <c r="D170" s="22">
        <f>IF(A170="","",IFERROR(VLOOKUP(A170,'صورت وضعیت پروژه'!$B$9:$G$48,2,0),"؟ آیتم پیدا نشد"))</f>
        <v/>
      </c>
      <c r="E170" s="11" t="n"/>
      <c r="F170" s="14">
        <f>IF(A170="","",IFERROR(VLOOKUP(A170,'صورت وضعیت پروژه'!$B$9:$G$48,6,0),""))</f>
        <v/>
      </c>
      <c r="G170" s="14">
        <f>IF(OR(E170="",F170=""),"",E170*F170)</f>
        <v/>
      </c>
      <c r="H170" s="3" t="n"/>
    </row>
    <row r="171">
      <c r="A171" s="11" t="n"/>
      <c r="B171" s="11" t="n"/>
      <c r="C171" s="11" t="n"/>
      <c r="D171" s="22">
        <f>IF(A171="","",IFERROR(VLOOKUP(A171,'صورت وضعیت پروژه'!$B$9:$G$48,2,0),"؟ آیتم پیدا نشد"))</f>
        <v/>
      </c>
      <c r="E171" s="11" t="n"/>
      <c r="F171" s="14">
        <f>IF(A171="","",IFERROR(VLOOKUP(A171,'صورت وضعیت پروژه'!$B$9:$G$48,6,0),""))</f>
        <v/>
      </c>
      <c r="G171" s="14">
        <f>IF(OR(E171="",F171=""),"",E171*F171)</f>
        <v/>
      </c>
      <c r="H171" s="3" t="n"/>
    </row>
    <row r="172">
      <c r="A172" s="11" t="n"/>
      <c r="B172" s="11" t="n"/>
      <c r="C172" s="11" t="n"/>
      <c r="D172" s="22">
        <f>IF(A172="","",IFERROR(VLOOKUP(A172,'صورت وضعیت پروژه'!$B$9:$G$48,2,0),"؟ آیتم پیدا نشد"))</f>
        <v/>
      </c>
      <c r="E172" s="11" t="n"/>
      <c r="F172" s="14">
        <f>IF(A172="","",IFERROR(VLOOKUP(A172,'صورت وضعیت پروژه'!$B$9:$G$48,6,0),""))</f>
        <v/>
      </c>
      <c r="G172" s="14">
        <f>IF(OR(E172="",F172=""),"",E172*F172)</f>
        <v/>
      </c>
      <c r="H172" s="3" t="n"/>
    </row>
    <row r="173">
      <c r="A173" s="11" t="n"/>
      <c r="B173" s="11" t="n"/>
      <c r="C173" s="11" t="n"/>
      <c r="D173" s="22">
        <f>IF(A173="","",IFERROR(VLOOKUP(A173,'صورت وضعیت پروژه'!$B$9:$G$48,2,0),"؟ آیتم پیدا نشد"))</f>
        <v/>
      </c>
      <c r="E173" s="11" t="n"/>
      <c r="F173" s="14">
        <f>IF(A173="","",IFERROR(VLOOKUP(A173,'صورت وضعیت پروژه'!$B$9:$G$48,6,0),""))</f>
        <v/>
      </c>
      <c r="G173" s="14">
        <f>IF(OR(E173="",F173=""),"",E173*F173)</f>
        <v/>
      </c>
      <c r="H173" s="3" t="n"/>
    </row>
    <row r="174">
      <c r="A174" s="11" t="n"/>
      <c r="B174" s="11" t="n"/>
      <c r="C174" s="11" t="n"/>
      <c r="D174" s="22">
        <f>IF(A174="","",IFERROR(VLOOKUP(A174,'صورت وضعیت پروژه'!$B$9:$G$48,2,0),"؟ آیتم پیدا نشد"))</f>
        <v/>
      </c>
      <c r="E174" s="11" t="n"/>
      <c r="F174" s="14">
        <f>IF(A174="","",IFERROR(VLOOKUP(A174,'صورت وضعیت پروژه'!$B$9:$G$48,6,0),""))</f>
        <v/>
      </c>
      <c r="G174" s="14">
        <f>IF(OR(E174="",F174=""),"",E174*F174)</f>
        <v/>
      </c>
      <c r="H174" s="3" t="n"/>
    </row>
    <row r="175">
      <c r="A175" s="11" t="n"/>
      <c r="B175" s="11" t="n"/>
      <c r="C175" s="11" t="n"/>
      <c r="D175" s="22">
        <f>IF(A175="","",IFERROR(VLOOKUP(A175,'صورت وضعیت پروژه'!$B$9:$G$48,2,0),"؟ آیتم پیدا نشد"))</f>
        <v/>
      </c>
      <c r="E175" s="11" t="n"/>
      <c r="F175" s="14">
        <f>IF(A175="","",IFERROR(VLOOKUP(A175,'صورت وضعیت پروژه'!$B$9:$G$48,6,0),""))</f>
        <v/>
      </c>
      <c r="G175" s="14">
        <f>IF(OR(E175="",F175=""),"",E175*F175)</f>
        <v/>
      </c>
      <c r="H175" s="3" t="n"/>
    </row>
    <row r="176">
      <c r="A176" s="11" t="n"/>
      <c r="B176" s="11" t="n"/>
      <c r="C176" s="11" t="n"/>
      <c r="D176" s="22">
        <f>IF(A176="","",IFERROR(VLOOKUP(A176,'صورت وضعیت پروژه'!$B$9:$G$48,2,0),"؟ آیتم پیدا نشد"))</f>
        <v/>
      </c>
      <c r="E176" s="11" t="n"/>
      <c r="F176" s="14">
        <f>IF(A176="","",IFERROR(VLOOKUP(A176,'صورت وضعیت پروژه'!$B$9:$G$48,6,0),""))</f>
        <v/>
      </c>
      <c r="G176" s="14">
        <f>IF(OR(E176="",F176=""),"",E176*F176)</f>
        <v/>
      </c>
      <c r="H176" s="3" t="n"/>
    </row>
    <row r="177">
      <c r="A177" s="11" t="n"/>
      <c r="B177" s="11" t="n"/>
      <c r="C177" s="11" t="n"/>
      <c r="D177" s="22">
        <f>IF(A177="","",IFERROR(VLOOKUP(A177,'صورت وضعیت پروژه'!$B$9:$G$48,2,0),"؟ آیتم پیدا نشد"))</f>
        <v/>
      </c>
      <c r="E177" s="11" t="n"/>
      <c r="F177" s="14">
        <f>IF(A177="","",IFERROR(VLOOKUP(A177,'صورت وضعیت پروژه'!$B$9:$G$48,6,0),""))</f>
        <v/>
      </c>
      <c r="G177" s="14">
        <f>IF(OR(E177="",F177=""),"",E177*F177)</f>
        <v/>
      </c>
      <c r="H177" s="3" t="n"/>
    </row>
    <row r="178">
      <c r="A178" s="11" t="n"/>
      <c r="B178" s="11" t="n"/>
      <c r="C178" s="11" t="n"/>
      <c r="D178" s="22">
        <f>IF(A178="","",IFERROR(VLOOKUP(A178,'صورت وضعیت پروژه'!$B$9:$G$48,2,0),"؟ آیتم پیدا نشد"))</f>
        <v/>
      </c>
      <c r="E178" s="11" t="n"/>
      <c r="F178" s="14">
        <f>IF(A178="","",IFERROR(VLOOKUP(A178,'صورت وضعیت پروژه'!$B$9:$G$48,6,0),""))</f>
        <v/>
      </c>
      <c r="G178" s="14">
        <f>IF(OR(E178="",F178=""),"",E178*F178)</f>
        <v/>
      </c>
      <c r="H178" s="3" t="n"/>
    </row>
    <row r="179">
      <c r="A179" s="11" t="n"/>
      <c r="B179" s="11" t="n"/>
      <c r="C179" s="11" t="n"/>
      <c r="D179" s="22">
        <f>IF(A179="","",IFERROR(VLOOKUP(A179,'صورت وضعیت پروژه'!$B$9:$G$48,2,0),"؟ آیتم پیدا نشد"))</f>
        <v/>
      </c>
      <c r="E179" s="11" t="n"/>
      <c r="F179" s="14">
        <f>IF(A179="","",IFERROR(VLOOKUP(A179,'صورت وضعیت پروژه'!$B$9:$G$48,6,0),""))</f>
        <v/>
      </c>
      <c r="G179" s="14">
        <f>IF(OR(E179="",F179=""),"",E179*F179)</f>
        <v/>
      </c>
      <c r="H179" s="3" t="n"/>
    </row>
    <row r="180">
      <c r="A180" s="11" t="n"/>
      <c r="B180" s="11" t="n"/>
      <c r="C180" s="11" t="n"/>
      <c r="D180" s="22">
        <f>IF(A180="","",IFERROR(VLOOKUP(A180,'صورت وضعیت پروژه'!$B$9:$G$48,2,0),"؟ آیتم پیدا نشد"))</f>
        <v/>
      </c>
      <c r="E180" s="11" t="n"/>
      <c r="F180" s="14">
        <f>IF(A180="","",IFERROR(VLOOKUP(A180,'صورت وضعیت پروژه'!$B$9:$G$48,6,0),""))</f>
        <v/>
      </c>
      <c r="G180" s="14">
        <f>IF(OR(E180="",F180=""),"",E180*F180)</f>
        <v/>
      </c>
      <c r="H180" s="3" t="n"/>
    </row>
    <row r="181">
      <c r="A181" s="11" t="n"/>
      <c r="B181" s="11" t="n"/>
      <c r="C181" s="11" t="n"/>
      <c r="D181" s="22">
        <f>IF(A181="","",IFERROR(VLOOKUP(A181,'صورت وضعیت پروژه'!$B$9:$G$48,2,0),"؟ آیتم پیدا نشد"))</f>
        <v/>
      </c>
      <c r="E181" s="11" t="n"/>
      <c r="F181" s="14">
        <f>IF(A181="","",IFERROR(VLOOKUP(A181,'صورت وضعیت پروژه'!$B$9:$G$48,6,0),""))</f>
        <v/>
      </c>
      <c r="G181" s="14">
        <f>IF(OR(E181="",F181=""),"",E181*F181)</f>
        <v/>
      </c>
      <c r="H181" s="3" t="n"/>
    </row>
    <row r="182">
      <c r="A182" s="11" t="n"/>
      <c r="B182" s="11" t="n"/>
      <c r="C182" s="11" t="n"/>
      <c r="D182" s="22">
        <f>IF(A182="","",IFERROR(VLOOKUP(A182,'صورت وضعیت پروژه'!$B$9:$G$48,2,0),"؟ آیتم پیدا نشد"))</f>
        <v/>
      </c>
      <c r="E182" s="11" t="n"/>
      <c r="F182" s="14">
        <f>IF(A182="","",IFERROR(VLOOKUP(A182,'صورت وضعیت پروژه'!$B$9:$G$48,6,0),""))</f>
        <v/>
      </c>
      <c r="G182" s="14">
        <f>IF(OR(E182="",F182=""),"",E182*F182)</f>
        <v/>
      </c>
      <c r="H182" s="3" t="n"/>
    </row>
    <row r="183">
      <c r="A183" s="11" t="n"/>
      <c r="B183" s="11" t="n"/>
      <c r="C183" s="11" t="n"/>
      <c r="D183" s="22">
        <f>IF(A183="","",IFERROR(VLOOKUP(A183,'صورت وضعیت پروژه'!$B$9:$G$48,2,0),"؟ آیتم پیدا نشد"))</f>
        <v/>
      </c>
      <c r="E183" s="11" t="n"/>
      <c r="F183" s="14">
        <f>IF(A183="","",IFERROR(VLOOKUP(A183,'صورت وضعیت پروژه'!$B$9:$G$48,6,0),""))</f>
        <v/>
      </c>
      <c r="G183" s="14">
        <f>IF(OR(E183="",F183=""),"",E183*F183)</f>
        <v/>
      </c>
      <c r="H183" s="3" t="n"/>
    </row>
    <row r="184">
      <c r="A184" s="11" t="n"/>
      <c r="B184" s="11" t="n"/>
      <c r="C184" s="11" t="n"/>
      <c r="D184" s="22">
        <f>IF(A184="","",IFERROR(VLOOKUP(A184,'صورت وضعیت پروژه'!$B$9:$G$48,2,0),"؟ آیتم پیدا نشد"))</f>
        <v/>
      </c>
      <c r="E184" s="11" t="n"/>
      <c r="F184" s="14">
        <f>IF(A184="","",IFERROR(VLOOKUP(A184,'صورت وضعیت پروژه'!$B$9:$G$48,6,0),""))</f>
        <v/>
      </c>
      <c r="G184" s="14">
        <f>IF(OR(E184="",F184=""),"",E184*F184)</f>
        <v/>
      </c>
      <c r="H184" s="3" t="n"/>
    </row>
    <row r="185">
      <c r="A185" s="11" t="n"/>
      <c r="B185" s="11" t="n"/>
      <c r="C185" s="11" t="n"/>
      <c r="D185" s="22">
        <f>IF(A185="","",IFERROR(VLOOKUP(A185,'صورت وضعیت پروژه'!$B$9:$G$48,2,0),"؟ آیتم پیدا نشد"))</f>
        <v/>
      </c>
      <c r="E185" s="11" t="n"/>
      <c r="F185" s="14">
        <f>IF(A185="","",IFERROR(VLOOKUP(A185,'صورت وضعیت پروژه'!$B$9:$G$48,6,0),""))</f>
        <v/>
      </c>
      <c r="G185" s="14">
        <f>IF(OR(E185="",F185=""),"",E185*F185)</f>
        <v/>
      </c>
      <c r="H185" s="3" t="n"/>
    </row>
    <row r="186">
      <c r="A186" s="11" t="n"/>
      <c r="B186" s="11" t="n"/>
      <c r="C186" s="11" t="n"/>
      <c r="D186" s="22">
        <f>IF(A186="","",IFERROR(VLOOKUP(A186,'صورت وضعیت پروژه'!$B$9:$G$48,2,0),"؟ آیتم پیدا نشد"))</f>
        <v/>
      </c>
      <c r="E186" s="11" t="n"/>
      <c r="F186" s="14">
        <f>IF(A186="","",IFERROR(VLOOKUP(A186,'صورت وضعیت پروژه'!$B$9:$G$48,6,0),""))</f>
        <v/>
      </c>
      <c r="G186" s="14">
        <f>IF(OR(E186="",F186=""),"",E186*F186)</f>
        <v/>
      </c>
      <c r="H186" s="3" t="n"/>
    </row>
    <row r="187">
      <c r="A187" s="11" t="n"/>
      <c r="B187" s="11" t="n"/>
      <c r="C187" s="11" t="n"/>
      <c r="D187" s="22">
        <f>IF(A187="","",IFERROR(VLOOKUP(A187,'صورت وضعیت پروژه'!$B$9:$G$48,2,0),"؟ آیتم پیدا نشد"))</f>
        <v/>
      </c>
      <c r="E187" s="11" t="n"/>
      <c r="F187" s="14">
        <f>IF(A187="","",IFERROR(VLOOKUP(A187,'صورت وضعیت پروژه'!$B$9:$G$48,6,0),""))</f>
        <v/>
      </c>
      <c r="G187" s="14">
        <f>IF(OR(E187="",F187=""),"",E187*F187)</f>
        <v/>
      </c>
      <c r="H187" s="3" t="n"/>
    </row>
    <row r="188">
      <c r="A188" s="11" t="n"/>
      <c r="B188" s="11" t="n"/>
      <c r="C188" s="11" t="n"/>
      <c r="D188" s="22">
        <f>IF(A188="","",IFERROR(VLOOKUP(A188,'صورت وضعیت پروژه'!$B$9:$G$48,2,0),"؟ آیتم پیدا نشد"))</f>
        <v/>
      </c>
      <c r="E188" s="11" t="n"/>
      <c r="F188" s="14">
        <f>IF(A188="","",IFERROR(VLOOKUP(A188,'صورت وضعیت پروژه'!$B$9:$G$48,6,0),""))</f>
        <v/>
      </c>
      <c r="G188" s="14">
        <f>IF(OR(E188="",F188=""),"",E188*F188)</f>
        <v/>
      </c>
      <c r="H188" s="3" t="n"/>
    </row>
    <row r="189">
      <c r="A189" s="11" t="n"/>
      <c r="B189" s="11" t="n"/>
      <c r="C189" s="11" t="n"/>
      <c r="D189" s="22">
        <f>IF(A189="","",IFERROR(VLOOKUP(A189,'صورت وضعیت پروژه'!$B$9:$G$48,2,0),"؟ آیتم پیدا نشد"))</f>
        <v/>
      </c>
      <c r="E189" s="11" t="n"/>
      <c r="F189" s="14">
        <f>IF(A189="","",IFERROR(VLOOKUP(A189,'صورت وضعیت پروژه'!$B$9:$G$48,6,0),""))</f>
        <v/>
      </c>
      <c r="G189" s="14">
        <f>IF(OR(E189="",F189=""),"",E189*F189)</f>
        <v/>
      </c>
      <c r="H189" s="3" t="n"/>
    </row>
    <row r="190">
      <c r="A190" s="11" t="n"/>
      <c r="B190" s="11" t="n"/>
      <c r="C190" s="11" t="n"/>
      <c r="D190" s="22">
        <f>IF(A190="","",IFERROR(VLOOKUP(A190,'صورت وضعیت پروژه'!$B$9:$G$48,2,0),"؟ آیتم پیدا نشد"))</f>
        <v/>
      </c>
      <c r="E190" s="11" t="n"/>
      <c r="F190" s="14">
        <f>IF(A190="","",IFERROR(VLOOKUP(A190,'صورت وضعیت پروژه'!$B$9:$G$48,6,0),""))</f>
        <v/>
      </c>
      <c r="G190" s="14">
        <f>IF(OR(E190="",F190=""),"",E190*F190)</f>
        <v/>
      </c>
      <c r="H190" s="3" t="n"/>
    </row>
    <row r="191">
      <c r="A191" s="11" t="n"/>
      <c r="B191" s="11" t="n"/>
      <c r="C191" s="11" t="n"/>
      <c r="D191" s="22">
        <f>IF(A191="","",IFERROR(VLOOKUP(A191,'صورت وضعیت پروژه'!$B$9:$G$48,2,0),"؟ آیتم پیدا نشد"))</f>
        <v/>
      </c>
      <c r="E191" s="11" t="n"/>
      <c r="F191" s="14">
        <f>IF(A191="","",IFERROR(VLOOKUP(A191,'صورت وضعیت پروژه'!$B$9:$G$48,6,0),""))</f>
        <v/>
      </c>
      <c r="G191" s="14">
        <f>IF(OR(E191="",F191=""),"",E191*F191)</f>
        <v/>
      </c>
      <c r="H191" s="3" t="n"/>
    </row>
    <row r="192">
      <c r="A192" s="11" t="n"/>
      <c r="B192" s="11" t="n"/>
      <c r="C192" s="11" t="n"/>
      <c r="D192" s="22">
        <f>IF(A192="","",IFERROR(VLOOKUP(A192,'صورت وضعیت پروژه'!$B$9:$G$48,2,0),"؟ آیتم پیدا نشد"))</f>
        <v/>
      </c>
      <c r="E192" s="11" t="n"/>
      <c r="F192" s="14">
        <f>IF(A192="","",IFERROR(VLOOKUP(A192,'صورت وضعیت پروژه'!$B$9:$G$48,6,0),""))</f>
        <v/>
      </c>
      <c r="G192" s="14">
        <f>IF(OR(E192="",F192=""),"",E192*F192)</f>
        <v/>
      </c>
      <c r="H192" s="3" t="n"/>
    </row>
    <row r="193">
      <c r="A193" s="11" t="n"/>
      <c r="B193" s="11" t="n"/>
      <c r="C193" s="11" t="n"/>
      <c r="D193" s="22">
        <f>IF(A193="","",IFERROR(VLOOKUP(A193,'صورت وضعیت پروژه'!$B$9:$G$48,2,0),"؟ آیتم پیدا نشد"))</f>
        <v/>
      </c>
      <c r="E193" s="11" t="n"/>
      <c r="F193" s="14">
        <f>IF(A193="","",IFERROR(VLOOKUP(A193,'صورت وضعیت پروژه'!$B$9:$G$48,6,0),""))</f>
        <v/>
      </c>
      <c r="G193" s="14">
        <f>IF(OR(E193="",F193=""),"",E193*F193)</f>
        <v/>
      </c>
      <c r="H193" s="3" t="n"/>
    </row>
    <row r="194">
      <c r="A194" s="11" t="n"/>
      <c r="B194" s="11" t="n"/>
      <c r="C194" s="11" t="n"/>
      <c r="D194" s="22">
        <f>IF(A194="","",IFERROR(VLOOKUP(A194,'صورت وضعیت پروژه'!$B$9:$G$48,2,0),"؟ آیتم پیدا نشد"))</f>
        <v/>
      </c>
      <c r="E194" s="11" t="n"/>
      <c r="F194" s="14">
        <f>IF(A194="","",IFERROR(VLOOKUP(A194,'صورت وضعیت پروژه'!$B$9:$G$48,6,0),""))</f>
        <v/>
      </c>
      <c r="G194" s="14">
        <f>IF(OR(E194="",F194=""),"",E194*F194)</f>
        <v/>
      </c>
      <c r="H194" s="3" t="n"/>
    </row>
    <row r="195">
      <c r="A195" s="11" t="n"/>
      <c r="B195" s="11" t="n"/>
      <c r="C195" s="11" t="n"/>
      <c r="D195" s="22">
        <f>IF(A195="","",IFERROR(VLOOKUP(A195,'صورت وضعیت پروژه'!$B$9:$G$48,2,0),"؟ آیتم پیدا نشد"))</f>
        <v/>
      </c>
      <c r="E195" s="11" t="n"/>
      <c r="F195" s="14">
        <f>IF(A195="","",IFERROR(VLOOKUP(A195,'صورت وضعیت پروژه'!$B$9:$G$48,6,0),""))</f>
        <v/>
      </c>
      <c r="G195" s="14">
        <f>IF(OR(E195="",F195=""),"",E195*F195)</f>
        <v/>
      </c>
      <c r="H195" s="3" t="n"/>
    </row>
    <row r="196">
      <c r="A196" s="11" t="n"/>
      <c r="B196" s="11" t="n"/>
      <c r="C196" s="11" t="n"/>
      <c r="D196" s="22">
        <f>IF(A196="","",IFERROR(VLOOKUP(A196,'صورت وضعیت پروژه'!$B$9:$G$48,2,0),"؟ آیتم پیدا نشد"))</f>
        <v/>
      </c>
      <c r="E196" s="11" t="n"/>
      <c r="F196" s="14">
        <f>IF(A196="","",IFERROR(VLOOKUP(A196,'صورت وضعیت پروژه'!$B$9:$G$48,6,0),""))</f>
        <v/>
      </c>
      <c r="G196" s="14">
        <f>IF(OR(E196="",F196=""),"",E196*F196)</f>
        <v/>
      </c>
      <c r="H196" s="3" t="n"/>
    </row>
    <row r="197">
      <c r="A197" s="11" t="n"/>
      <c r="B197" s="11" t="n"/>
      <c r="C197" s="11" t="n"/>
      <c r="D197" s="22">
        <f>IF(A197="","",IFERROR(VLOOKUP(A197,'صورت وضعیت پروژه'!$B$9:$G$48,2,0),"؟ آیتم پیدا نشد"))</f>
        <v/>
      </c>
      <c r="E197" s="11" t="n"/>
      <c r="F197" s="14">
        <f>IF(A197="","",IFERROR(VLOOKUP(A197,'صورت وضعیت پروژه'!$B$9:$G$48,6,0),""))</f>
        <v/>
      </c>
      <c r="G197" s="14">
        <f>IF(OR(E197="",F197=""),"",E197*F197)</f>
        <v/>
      </c>
      <c r="H197" s="3" t="n"/>
    </row>
    <row r="198">
      <c r="A198" s="11" t="n"/>
      <c r="B198" s="11" t="n"/>
      <c r="C198" s="11" t="n"/>
      <c r="D198" s="22">
        <f>IF(A198="","",IFERROR(VLOOKUP(A198,'صورت وضعیت پروژه'!$B$9:$G$48,2,0),"؟ آیتم پیدا نشد"))</f>
        <v/>
      </c>
      <c r="E198" s="11" t="n"/>
      <c r="F198" s="14">
        <f>IF(A198="","",IFERROR(VLOOKUP(A198,'صورت وضعیت پروژه'!$B$9:$G$48,6,0),""))</f>
        <v/>
      </c>
      <c r="G198" s="14">
        <f>IF(OR(E198="",F198=""),"",E198*F198)</f>
        <v/>
      </c>
      <c r="H198" s="3" t="n"/>
    </row>
    <row r="199">
      <c r="A199" s="11" t="n"/>
      <c r="B199" s="11" t="n"/>
      <c r="C199" s="11" t="n"/>
      <c r="D199" s="22">
        <f>IF(A199="","",IFERROR(VLOOKUP(A199,'صورت وضعیت پروژه'!$B$9:$G$48,2,0),"؟ آیتم پیدا نشد"))</f>
        <v/>
      </c>
      <c r="E199" s="11" t="n"/>
      <c r="F199" s="14">
        <f>IF(A199="","",IFERROR(VLOOKUP(A199,'صورت وضعیت پروژه'!$B$9:$G$48,6,0),""))</f>
        <v/>
      </c>
      <c r="G199" s="14">
        <f>IF(OR(E199="",F199=""),"",E199*F199)</f>
        <v/>
      </c>
      <c r="H199" s="3" t="n"/>
    </row>
    <row r="200">
      <c r="A200" s="11" t="n"/>
      <c r="B200" s="11" t="n"/>
      <c r="C200" s="11" t="n"/>
      <c r="D200" s="22">
        <f>IF(A200="","",IFERROR(VLOOKUP(A200,'صورت وضعیت پروژه'!$B$9:$G$48,2,0),"؟ آیتم پیدا نشد"))</f>
        <v/>
      </c>
      <c r="E200" s="11" t="n"/>
      <c r="F200" s="14">
        <f>IF(A200="","",IFERROR(VLOOKUP(A200,'صورت وضعیت پروژه'!$B$9:$G$48,6,0),""))</f>
        <v/>
      </c>
      <c r="G200" s="14">
        <f>IF(OR(E200="",F200=""),"",E200*F200)</f>
        <v/>
      </c>
      <c r="H200" s="3" t="n"/>
    </row>
    <row r="201">
      <c r="A201" s="11" t="n"/>
      <c r="B201" s="11" t="n"/>
      <c r="C201" s="11" t="n"/>
      <c r="D201" s="22">
        <f>IF(A201="","",IFERROR(VLOOKUP(A201,'صورت وضعیت پروژه'!$B$9:$G$48,2,0),"؟ آیتم پیدا نشد"))</f>
        <v/>
      </c>
      <c r="E201" s="11" t="n"/>
      <c r="F201" s="14">
        <f>IF(A201="","",IFERROR(VLOOKUP(A201,'صورت وضعیت پروژه'!$B$9:$G$48,6,0),""))</f>
        <v/>
      </c>
      <c r="G201" s="14">
        <f>IF(OR(E201="",F201=""),"",E201*F201)</f>
        <v/>
      </c>
      <c r="H201" s="3" t="n"/>
    </row>
    <row r="202">
      <c r="A202" s="11" t="n"/>
      <c r="B202" s="11" t="n"/>
      <c r="C202" s="11" t="n"/>
      <c r="D202" s="22">
        <f>IF(A202="","",IFERROR(VLOOKUP(A202,'صورت وضعیت پروژه'!$B$9:$G$48,2,0),"؟ آیتم پیدا نشد"))</f>
        <v/>
      </c>
      <c r="E202" s="11" t="n"/>
      <c r="F202" s="14">
        <f>IF(A202="","",IFERROR(VLOOKUP(A202,'صورت وضعیت پروژه'!$B$9:$G$48,6,0),""))</f>
        <v/>
      </c>
      <c r="G202" s="14">
        <f>IF(OR(E202="",F202=""),"",E202*F202)</f>
        <v/>
      </c>
      <c r="H202" s="3" t="n"/>
    </row>
    <row r="203">
      <c r="A203" s="11" t="n"/>
      <c r="B203" s="11" t="n"/>
      <c r="C203" s="11" t="n"/>
      <c r="D203" s="22">
        <f>IF(A203="","",IFERROR(VLOOKUP(A203,'صورت وضعیت پروژه'!$B$9:$G$48,2,0),"؟ آیتم پیدا نشد"))</f>
        <v/>
      </c>
      <c r="E203" s="11" t="n"/>
      <c r="F203" s="14">
        <f>IF(A203="","",IFERROR(VLOOKUP(A203,'صورت وضعیت پروژه'!$B$9:$G$48,6,0),""))</f>
        <v/>
      </c>
      <c r="G203" s="14">
        <f>IF(OR(E203="",F203=""),"",E203*F203)</f>
        <v/>
      </c>
      <c r="H203" s="3" t="n"/>
    </row>
    <row r="204">
      <c r="A204" s="11" t="n"/>
      <c r="B204" s="11" t="n"/>
      <c r="C204" s="11" t="n"/>
      <c r="D204" s="22">
        <f>IF(A204="","",IFERROR(VLOOKUP(A204,'صورت وضعیت پروژه'!$B$9:$G$48,2,0),"؟ آیتم پیدا نشد"))</f>
        <v/>
      </c>
      <c r="E204" s="11" t="n"/>
      <c r="F204" s="14">
        <f>IF(A204="","",IFERROR(VLOOKUP(A204,'صورت وضعیت پروژه'!$B$9:$G$48,6,0),""))</f>
        <v/>
      </c>
      <c r="G204" s="14">
        <f>IF(OR(E204="",F204=""),"",E204*F204)</f>
        <v/>
      </c>
      <c r="H204" s="3" t="n"/>
    </row>
    <row r="205">
      <c r="A205" s="11" t="n"/>
      <c r="B205" s="11" t="n"/>
      <c r="C205" s="11" t="n"/>
      <c r="D205" s="22">
        <f>IF(A205="","",IFERROR(VLOOKUP(A205,'صورت وضعیت پروژه'!$B$9:$G$48,2,0),"؟ آیتم پیدا نشد"))</f>
        <v/>
      </c>
      <c r="E205" s="11" t="n"/>
      <c r="F205" s="14">
        <f>IF(A205="","",IFERROR(VLOOKUP(A205,'صورت وضعیت پروژه'!$B$9:$G$48,6,0),""))</f>
        <v/>
      </c>
      <c r="G205" s="14">
        <f>IF(OR(E205="",F205=""),"",E205*F205)</f>
        <v/>
      </c>
      <c r="H205" s="3" t="n"/>
    </row>
  </sheetData>
  <mergeCells count="2">
    <mergeCell ref="B3:C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3" t="inlineStr">
        <is>
          <t>راهنمای پر کردن فایل</t>
        </is>
      </c>
    </row>
    <row r="3">
      <c r="A3" s="24" t="inlineStr">
        <is>
          <t>۱. در برگهٔ «صورت وضعیت پروژه» فقط خانه‌های کرم‌رنگ را پر کنید؛ ستون «مبلغ» خودکار حساب می‌شود.</t>
        </is>
      </c>
    </row>
    <row r="5">
      <c r="A5" s="24" t="inlineStr">
        <is>
          <t>۲. ردیف‌های ۱ تا ۳۰ آیتم‌های اصلی قرارداد و ردیف‌های «مازاد بر قرارداد (n)» کارهای اضافه‌اند. ردیف خالی وارد نمی‌شود.</t>
        </is>
      </c>
    </row>
    <row r="7">
      <c r="A7" s="24" t="inlineStr">
        <is>
          <t>۳. «نوع»: فروش / تأمین (بدون بیمه) — نصب (مشمول بیمهٔ ۱۶٫۶۷٪) — سایر. اگر خالی بماند از روی شرح حدس زده می‌شود.</t>
        </is>
      </c>
    </row>
    <row r="9">
      <c r="A9" s="24" t="inlineStr">
        <is>
          <t>۴. «فی» و «مبلغ» به ریال. «مقدار» می‌تواند اعشاری باشد (مثلاً 249.89).</t>
        </is>
      </c>
    </row>
    <row r="11">
      <c r="A11" s="24" t="inlineStr">
        <is>
          <t>۵. «تخفیف»: مبلغ کل تخفیف قرارداد به ریال (اختیاری). درصد تخفیف خودکار از آن حساب می‌شود.</t>
        </is>
      </c>
    </row>
    <row r="13">
      <c r="A13" s="24" t="inlineStr">
        <is>
          <t>۶. برگهٔ «ریزمتر» اختیاری است: شمارهٔ آیتم (همان ستون اول برگهٔ قبل، مثل 3 یا «مازاد بر قرارداد (1)»)، شمارهٔ صورت وضعیت، تاریخ شمسی و مقدار انجام‌شده.</t>
        </is>
      </c>
    </row>
    <row r="15">
      <c r="A15" s="24" t="inlineStr">
        <is>
          <t xml:space="preserve">   اگر شمارهٔ صورت وضعیت را «قطعی» بنویسید، آن ردیف‌ها صورت وضعیت بعدی و قطعی می‌شوند.</t>
        </is>
      </c>
    </row>
    <row r="17">
      <c r="A17" s="24" t="inlineStr">
        <is>
          <t>۷. در LifeOS: پروژه › اطلاعات مالی › آیتم‌های قرارداد › «📥 ورود از اکسل» و همین فایل را انتخاب کنید.</t>
        </is>
      </c>
    </row>
    <row r="19">
      <c r="A19" s="25" t="inlineStr">
        <is>
          <t>نام برگه‌ها و عنوان ستون‌ها را تغییر ندهید؛ ستون‌ها از روی عنوانشان پیدا می‌شوند.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2026-10-07T10:09:05Z</dcterms:created>
  <dcterms:modified xmlns:dcterms="http://purl.org/dc/terms/" xmlns:xsi="http://www.w3.org/2001/XMLSchema-instance" xsi:type="dcterms:W3CDTF">2026-10-07T10:09:06Z</dcterms:modified>
</cp:coreProperties>
</file>